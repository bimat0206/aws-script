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c/Git/kyber/"/>
    </mc:Choice>
  </mc:AlternateContent>
  <xr:revisionPtr revIDLastSave="0" documentId="13_ncr:1_{0988DE3C-AF39-1E42-BC8A-8BEE3A3BC5B1}" xr6:coauthVersionLast="47" xr6:coauthVersionMax="47" xr10:uidLastSave="{00000000-0000-0000-0000-000000000000}"/>
  <bookViews>
    <workbookView xWindow="1260" yWindow="600" windowWidth="37760" windowHeight="21300" xr2:uid="{00000000-000D-0000-FFFF-FFFF00000000}"/>
  </bookViews>
  <sheets>
    <sheet name="1fox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tToQPg9bKqMkGeKnBR1RcFacfm2tnJCMl8mEqmKG0Dc="/>
    </ext>
  </extLst>
</workbook>
</file>

<file path=xl/calcChain.xml><?xml version="1.0" encoding="utf-8"?>
<calcChain xmlns="http://schemas.openxmlformats.org/spreadsheetml/2006/main">
  <c r="N24" i="4" l="1"/>
  <c r="N25" i="4" s="1"/>
</calcChain>
</file>

<file path=xl/sharedStrings.xml><?xml version="1.0" encoding="utf-8"?>
<sst xmlns="http://schemas.openxmlformats.org/spreadsheetml/2006/main" count="85" uniqueCount="63">
  <si>
    <t>Renova Cloud - AWS Price Estimations</t>
  </si>
  <si>
    <t>https://renovacloud.com</t>
  </si>
  <si>
    <t>Mobile: 0948.998.288</t>
  </si>
  <si>
    <t>Email: info@renovacloud.com</t>
  </si>
  <si>
    <t>Environment</t>
  </si>
  <si>
    <t>OS/DBMS</t>
  </si>
  <si>
    <t xml:space="preserve"> vCPU
(Core)</t>
  </si>
  <si>
    <t xml:space="preserve"> Memory
(GB)</t>
  </si>
  <si>
    <t xml:space="preserve"> Storage
(GB)</t>
  </si>
  <si>
    <t>Amazon EC2</t>
  </si>
  <si>
    <t>Linux</t>
  </si>
  <si>
    <t>Amazon EKS</t>
  </si>
  <si>
    <t>EKS Clusters control plane</t>
  </si>
  <si>
    <t>Number of EKS Clusters (1)</t>
  </si>
  <si>
    <t>AWS Managed</t>
  </si>
  <si>
    <t>-</t>
  </si>
  <si>
    <t>Dev</t>
  </si>
  <si>
    <r>
      <rPr>
        <sz val="10"/>
        <color rgb="FF000000"/>
        <rFont val="Roboto"/>
      </rPr>
      <t xml:space="preserve">Running </t>
    </r>
    <r>
      <rPr>
        <b/>
        <sz val="10"/>
        <color rgb="FF000000"/>
        <rFont val="Roboto"/>
      </rPr>
      <t xml:space="preserve">24/7, </t>
    </r>
    <r>
      <rPr>
        <sz val="10"/>
        <color rgb="FF000000"/>
        <rFont val="Roboto"/>
      </rPr>
      <t xml:space="preserve">EBS volume with </t>
    </r>
    <r>
      <rPr>
        <b/>
        <sz val="10"/>
        <color rgb="FF000000"/>
        <rFont val="Roboto"/>
      </rPr>
      <t>GP3</t>
    </r>
    <r>
      <rPr>
        <sz val="10"/>
        <color rgb="FF000000"/>
        <rFont val="Roboto"/>
      </rPr>
      <t xml:space="preserve"> SSD</t>
    </r>
  </si>
  <si>
    <t>m6a.2xlarge</t>
  </si>
  <si>
    <t>r6a.2xlarge</t>
  </si>
  <si>
    <t>One-time Fee</t>
  </si>
  <si>
    <t>Reserved Instance Upfront Cost</t>
  </si>
  <si>
    <t>Free Tier Discount</t>
  </si>
  <si>
    <t>Managed Service Cost</t>
  </si>
  <si>
    <t>Infra Operation % Maintenance</t>
  </si>
  <si>
    <t>TOTAL MONTH PAYMENT</t>
  </si>
  <si>
    <t>TOTAL YEARLY (1 YEAR) PAYMENT</t>
  </si>
  <si>
    <t>On-Demand</t>
  </si>
  <si>
    <t>SP 1 Year - No Upfront</t>
  </si>
  <si>
    <t> - This is estimation fees, actual fees will be vary and will be consolidated between two parties monthly</t>
  </si>
  <si>
    <t> - Tax: This service is non VAT services . With Holding tax (10% services fees ) is not included yet</t>
  </si>
  <si>
    <t> - Exchange rate base on real USD/VND Rate from Master of VPbank pay for Amazon US of the invoice date) and convert from VND to USD </t>
  </si>
  <si>
    <t> - This price is not included implementation fees</t>
  </si>
  <si>
    <t xml:space="preserve"> - Quatation expired date: </t>
  </si>
  <si>
    <r>
      <rPr>
        <sz val="10"/>
        <color rgb="FF000000"/>
        <rFont val="Roboto"/>
      </rPr>
      <t xml:space="preserve">Running </t>
    </r>
    <r>
      <rPr>
        <b/>
        <sz val="10"/>
        <color rgb="FF000000"/>
        <rFont val="Roboto"/>
      </rPr>
      <t xml:space="preserve">24/7, </t>
    </r>
    <r>
      <rPr>
        <sz val="10"/>
        <color rgb="FF000000"/>
        <rFont val="Roboto"/>
      </rPr>
      <t xml:space="preserve">EBS volume with </t>
    </r>
    <r>
      <rPr>
        <b/>
        <sz val="10"/>
        <color rgb="FF000000"/>
        <rFont val="Roboto"/>
      </rPr>
      <t>GP3</t>
    </r>
    <r>
      <rPr>
        <sz val="10"/>
        <color rgb="FF000000"/>
        <rFont val="Roboto"/>
      </rPr>
      <t xml:space="preserve"> SSD</t>
    </r>
  </si>
  <si>
    <t>To: 1Fox</t>
  </si>
  <si>
    <t>k8s cluster</t>
  </si>
  <si>
    <t>k8s node group 1</t>
  </si>
  <si>
    <t>k8s spot node group 1</t>
  </si>
  <si>
    <t>k8s spot node group 2</t>
  </si>
  <si>
    <t>Clickhouse Cluster 1</t>
  </si>
  <si>
    <t>Clickhouse Cluster 2</t>
  </si>
  <si>
    <t>Postgres Cluster</t>
  </si>
  <si>
    <t>Managed Postgresql</t>
  </si>
  <si>
    <t>m6a.4xlarge</t>
  </si>
  <si>
    <t>   m6a.2xlarge</t>
  </si>
  <si>
    <t>Amazon RDS</t>
  </si>
  <si>
    <t>db.t3.small</t>
  </si>
  <si>
    <t>db.m6i.xlarge</t>
  </si>
  <si>
    <t>Deployment Option (Multi-AZ)</t>
  </si>
  <si>
    <t>Deployment Option (Single-AZ)</t>
  </si>
  <si>
    <t>Amazon S3</t>
  </si>
  <si>
    <t>Object Storage</t>
  </si>
  <si>
    <t>S3 Standard storage (40 GB per month)</t>
  </si>
  <si>
    <t>Region</t>
  </si>
  <si>
    <t>Singapore</t>
  </si>
  <si>
    <t xml:space="preserve">Resources Name </t>
  </si>
  <si>
    <t xml:space="preserve"> Instance type </t>
  </si>
  <si>
    <t xml:space="preserve">Service Cost (monthly) </t>
  </si>
  <si>
    <t xml:space="preserve">Services Properties </t>
  </si>
  <si>
    <t>Quantity</t>
  </si>
  <si>
    <t>Group</t>
  </si>
  <si>
    <t>Service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</si>
</sst>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"/>
    <numFmt numFmtId="165" formatCode="&quot;$&quot;#,##0.00"/>
    <numFmt numFmtId="166" formatCode="_-* #,##0.00_-;\-* #,##0.00_-;_-* &quot;-&quot;_-;_-@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Roboto"/>
    </font>
    <font>
      <b/>
      <sz val="10"/>
      <color theme="1"/>
      <name val="Roboto"/>
    </font>
    <font>
      <sz val="10"/>
      <color rgb="FF000000"/>
      <name val="Roboto"/>
    </font>
    <font>
      <sz val="10"/>
      <color theme="1"/>
      <name val="Roboto"/>
    </font>
    <font>
      <sz val="11"/>
      <name val="Calibri"/>
      <family val="2"/>
    </font>
    <font>
      <b/>
      <i/>
      <sz val="10"/>
      <color theme="1"/>
      <name val="Roboto"/>
    </font>
    <font>
      <sz val="11"/>
      <color theme="1"/>
      <name val="Roboto"/>
    </font>
    <font>
      <b/>
      <sz val="24"/>
      <color rgb="FFFFC000"/>
      <name val="Roboto"/>
    </font>
    <font>
      <sz val="11"/>
      <color theme="1"/>
      <name val="Roboto"/>
    </font>
    <font>
      <u/>
      <sz val="10"/>
      <color theme="10"/>
      <name val="Roboto"/>
    </font>
    <font>
      <b/>
      <sz val="16"/>
      <color theme="1"/>
      <name val="Roboto"/>
    </font>
    <font>
      <u/>
      <sz val="11"/>
      <color theme="10"/>
      <name val="Roboto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Roboto"/>
      <charset val="1"/>
    </font>
    <font>
      <sz val="8"/>
      <name val="Calibri"/>
      <family val="2"/>
      <scheme val="minor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A9D18E"/>
        <bgColor rgb="FFA9D18E"/>
      </patternFill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 applyNumberFormat="0" applyFill="0" applyBorder="0" applyAlignment="0" applyProtection="0"/>
    <xf numFmtId="0" fontId="1" fillId="0" borderId="15"/>
    <xf numFmtId="0" fontId="15" fillId="0" borderId="15" applyNumberFormat="0" applyFill="0" applyBorder="0" applyAlignment="0" applyProtection="0"/>
  </cellStyleXfs>
  <cellXfs count="64">
    <xf numFmtId="0" fontId="0" fillId="0" borderId="0" xfId="0"/>
    <xf numFmtId="0" fontId="2" fillId="3" borderId="1" xfId="0" applyFont="1" applyFill="1" applyBorder="1" applyAlignment="1">
      <alignment horizontal="center" vertical="center" wrapText="1" readingOrder="1"/>
    </xf>
    <xf numFmtId="0" fontId="2" fillId="5" borderId="4" xfId="0" applyFont="1" applyFill="1" applyBorder="1" applyAlignment="1">
      <alignment horizontal="center" vertical="center" wrapText="1" readingOrder="1"/>
    </xf>
    <xf numFmtId="0" fontId="2" fillId="5" borderId="5" xfId="0" applyFont="1" applyFill="1" applyBorder="1" applyAlignment="1">
      <alignment horizontal="center" vertical="center" wrapText="1" readingOrder="1"/>
    </xf>
    <xf numFmtId="0" fontId="2" fillId="5" borderId="6" xfId="0" applyFont="1" applyFill="1" applyBorder="1" applyAlignment="1">
      <alignment horizontal="center" vertical="center" wrapText="1" readingOrder="1"/>
    </xf>
    <xf numFmtId="0" fontId="2" fillId="5" borderId="3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165" fontId="4" fillId="6" borderId="3" xfId="0" applyNumberFormat="1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2" fillId="5" borderId="8" xfId="0" applyFont="1" applyFill="1" applyBorder="1" applyAlignment="1">
      <alignment horizontal="center" vertical="center" wrapText="1" readingOrder="1"/>
    </xf>
    <xf numFmtId="0" fontId="4" fillId="5" borderId="8" xfId="0" applyFont="1" applyFill="1" applyBorder="1" applyAlignment="1">
      <alignment horizontal="center" vertical="center" wrapText="1" readingOrder="1"/>
    </xf>
    <xf numFmtId="165" fontId="4" fillId="6" borderId="8" xfId="0" applyNumberFormat="1" applyFont="1" applyFill="1" applyBorder="1" applyAlignment="1">
      <alignment horizontal="center" vertical="center" wrapText="1" readingOrder="1"/>
    </xf>
    <xf numFmtId="165" fontId="2" fillId="7" borderId="5" xfId="0" applyNumberFormat="1" applyFont="1" applyFill="1" applyBorder="1" applyAlignment="1">
      <alignment horizontal="right" vertical="center" wrapText="1" readingOrder="1"/>
    </xf>
    <xf numFmtId="165" fontId="2" fillId="7" borderId="8" xfId="0" applyNumberFormat="1" applyFont="1" applyFill="1" applyBorder="1" applyAlignment="1">
      <alignment horizontal="right" vertical="center" wrapText="1" readingOrder="1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4" fillId="0" borderId="0" xfId="0" applyFont="1"/>
    <xf numFmtId="0" fontId="5" fillId="0" borderId="0" xfId="0" applyFont="1"/>
    <xf numFmtId="0" fontId="15" fillId="0" borderId="0" xfId="1"/>
    <xf numFmtId="0" fontId="2" fillId="3" borderId="16" xfId="0" applyFont="1" applyFill="1" applyBorder="1" applyAlignment="1">
      <alignment horizontal="center" vertical="center" wrapText="1" readingOrder="1"/>
    </xf>
    <xf numFmtId="0" fontId="5" fillId="2" borderId="1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center" vertical="center" wrapText="1" readingOrder="1"/>
    </xf>
    <xf numFmtId="165" fontId="4" fillId="6" borderId="2" xfId="0" applyNumberFormat="1" applyFont="1" applyFill="1" applyBorder="1" applyAlignment="1">
      <alignment horizontal="center" vertical="center" wrapText="1" readingOrder="1"/>
    </xf>
    <xf numFmtId="0" fontId="4" fillId="4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165" fontId="5" fillId="2" borderId="17" xfId="0" applyNumberFormat="1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5" fillId="0" borderId="17" xfId="0" applyFont="1" applyBorder="1"/>
    <xf numFmtId="0" fontId="16" fillId="0" borderId="17" xfId="0" applyFont="1" applyBorder="1"/>
    <xf numFmtId="0" fontId="5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5" fillId="2" borderId="22" xfId="0" applyFont="1" applyFill="1" applyBorder="1" applyAlignment="1">
      <alignment vertical="top"/>
    </xf>
    <xf numFmtId="0" fontId="5" fillId="2" borderId="24" xfId="0" applyFont="1" applyFill="1" applyBorder="1" applyAlignment="1">
      <alignment vertical="top"/>
    </xf>
    <xf numFmtId="0" fontId="5" fillId="2" borderId="23" xfId="0" applyFont="1" applyFill="1" applyBorder="1" applyAlignment="1">
      <alignment vertical="top"/>
    </xf>
    <xf numFmtId="0" fontId="2" fillId="7" borderId="9" xfId="0" applyFont="1" applyFill="1" applyBorder="1" applyAlignment="1">
      <alignment horizontal="right" vertical="center" wrapText="1" readingOrder="1"/>
    </xf>
    <xf numFmtId="0" fontId="6" fillId="0" borderId="10" xfId="0" applyFont="1" applyBorder="1"/>
    <xf numFmtId="0" fontId="6" fillId="0" borderId="11" xfId="0" applyFont="1" applyBorder="1"/>
    <xf numFmtId="0" fontId="2" fillId="7" borderId="12" xfId="0" applyFont="1" applyFill="1" applyBorder="1" applyAlignment="1">
      <alignment horizontal="right" vertical="center" wrapText="1" readingOrder="1"/>
    </xf>
    <xf numFmtId="0" fontId="6" fillId="0" borderId="13" xfId="0" applyFont="1" applyBorder="1"/>
    <xf numFmtId="0" fontId="6" fillId="0" borderId="14" xfId="0" applyFont="1" applyBorder="1"/>
    <xf numFmtId="0" fontId="9" fillId="0" borderId="0" xfId="0" applyFont="1" applyAlignment="1">
      <alignment horizontal="center" vertical="center"/>
    </xf>
    <xf numFmtId="0" fontId="0" fillId="0" borderId="0" xfId="0"/>
    <xf numFmtId="0" fontId="12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left"/>
    </xf>
    <xf numFmtId="0" fontId="5" fillId="2" borderId="22" xfId="0" applyFont="1" applyFill="1" applyBorder="1" applyAlignment="1">
      <alignment horizontal="center" vertical="top"/>
    </xf>
    <xf numFmtId="0" fontId="5" fillId="2" borderId="23" xfId="0" applyFont="1" applyFill="1" applyBorder="1" applyAlignment="1">
      <alignment horizontal="center" vertical="top"/>
    </xf>
    <xf numFmtId="0" fontId="18" fillId="7" borderId="3" xfId="0" applyFont="1" applyFill="1" applyBorder="1" applyAlignment="1">
      <alignment horizontal="center" vertical="center" wrapText="1"/>
    </xf>
  </cellXfs>
  <cellStyles count="4">
    <cellStyle name="Hyperlink" xfId="1" builtinId="8"/>
    <cellStyle name="Hyperlink 2" xfId="3" xr:uid="{D2691D6B-B351-834A-8FE5-7F3DD3F646CA}"/>
    <cellStyle name="Normal" xfId="0" builtinId="0"/>
    <cellStyle name="Normal 2" xfId="2" xr:uid="{8E0C5184-6245-3D41-8E8D-34E189D99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1238250</xdr:colOff>
      <xdr:row>0</xdr:row>
      <xdr:rowOff>0</xdr:rowOff>
    </xdr:from>
    <xdr:ext cx="1171575" cy="17907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790700" cy="1143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enovaclou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8"/>
  <sheetViews>
    <sheetView tabSelected="1" zoomScale="119" zoomScaleNormal="200" workbookViewId="0">
      <selection activeCell="G30" sqref="G30"/>
    </sheetView>
  </sheetViews>
  <sheetFormatPr baseColWidth="10" defaultColWidth="14.5" defaultRowHeight="15" customHeight="1" x14ac:dyDescent="0.2"/>
  <cols>
    <col min="1" max="1" width="3.5" customWidth="1"/>
    <col min="2" max="2" width="20.5" customWidth="1"/>
    <col min="3" max="3" width="20.1640625" customWidth="1"/>
    <col min="4" max="4" width="28.83203125" customWidth="1"/>
    <col min="5" max="6" width="15.5" customWidth="1"/>
    <col min="7" max="7" width="23.5" customWidth="1"/>
    <col min="8" max="8" width="37.33203125" customWidth="1"/>
    <col min="9" max="9" width="14.1640625" customWidth="1"/>
    <col min="10" max="12" width="9.1640625" customWidth="1"/>
    <col min="13" max="13" width="7" customWidth="1"/>
    <col min="14" max="14" width="12" customWidth="1"/>
    <col min="15" max="16" width="11.5" customWidth="1"/>
  </cols>
  <sheetData>
    <row r="1" spans="1:26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" customHeight="1" x14ac:dyDescent="0.2">
      <c r="A2" s="15"/>
      <c r="B2" s="57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" customHeight="1" x14ac:dyDescent="0.2">
      <c r="A3" s="15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">
      <c r="A4" s="15"/>
      <c r="B4" s="15"/>
      <c r="C4" s="15"/>
      <c r="D4" s="16"/>
      <c r="E4" s="27" t="s">
        <v>1</v>
      </c>
      <c r="F4" s="27"/>
      <c r="G4" s="15"/>
      <c r="H4" s="16"/>
      <c r="I4" s="16"/>
      <c r="J4" s="17"/>
      <c r="K4" s="17"/>
      <c r="L4" s="17"/>
      <c r="M4" s="17"/>
      <c r="N4" s="18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">
      <c r="A5" s="15"/>
      <c r="B5" s="15"/>
      <c r="C5" s="15"/>
      <c r="D5" s="16"/>
      <c r="E5" s="20" t="s">
        <v>2</v>
      </c>
      <c r="F5" s="20"/>
      <c r="G5" s="15"/>
      <c r="H5" s="16"/>
      <c r="I5" s="16"/>
      <c r="J5" s="17"/>
      <c r="K5" s="17"/>
      <c r="L5" s="17"/>
      <c r="M5" s="17"/>
      <c r="N5" s="18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">
      <c r="A6" s="15"/>
      <c r="B6" s="15"/>
      <c r="C6" s="15"/>
      <c r="D6" s="16"/>
      <c r="E6" s="20" t="s">
        <v>3</v>
      </c>
      <c r="F6" s="20"/>
      <c r="G6" s="15"/>
      <c r="H6" s="16"/>
      <c r="I6" s="16"/>
      <c r="J6" s="17"/>
      <c r="K6" s="17"/>
      <c r="L6" s="17"/>
      <c r="M6" s="17"/>
      <c r="N6" s="18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2">
      <c r="A7" s="15"/>
      <c r="B7" s="15"/>
      <c r="C7" s="15"/>
      <c r="D7" s="16"/>
      <c r="E7" s="16"/>
      <c r="F7" s="16"/>
      <c r="G7" s="16"/>
      <c r="H7" s="16"/>
      <c r="I7" s="16"/>
      <c r="J7" s="17"/>
      <c r="K7" s="17"/>
      <c r="L7" s="17"/>
      <c r="M7" s="17"/>
      <c r="N7" s="18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1.75" customHeight="1" x14ac:dyDescent="0.2">
      <c r="A8" s="16"/>
      <c r="B8" s="59" t="s">
        <v>35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1" x14ac:dyDescent="0.2">
      <c r="A9" s="16"/>
      <c r="B9" s="16"/>
      <c r="C9" s="16"/>
      <c r="D9" s="16"/>
      <c r="E9" s="16"/>
      <c r="F9" s="16"/>
      <c r="G9" s="16"/>
      <c r="H9" s="21"/>
      <c r="I9" s="21"/>
      <c r="J9" s="21"/>
      <c r="K9" s="17"/>
      <c r="L9" s="17"/>
      <c r="M9" s="22"/>
      <c r="N9" s="18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6" thickBot="1" x14ac:dyDescent="0.25">
      <c r="A10" s="15"/>
      <c r="B10" s="15"/>
      <c r="C10" s="15"/>
      <c r="D10" s="23"/>
      <c r="E10" s="15"/>
      <c r="F10" s="15"/>
      <c r="G10" s="23"/>
      <c r="H10" s="15"/>
      <c r="I10" s="15"/>
      <c r="J10" s="15"/>
      <c r="K10" s="15"/>
      <c r="L10" s="15"/>
      <c r="M10" s="23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7" thickBot="1" x14ac:dyDescent="0.25">
      <c r="A11" s="15"/>
      <c r="B11" s="32" t="s">
        <v>4</v>
      </c>
      <c r="C11" s="63" t="s">
        <v>61</v>
      </c>
      <c r="D11" s="32" t="s">
        <v>56</v>
      </c>
      <c r="E11" s="63" t="s">
        <v>62</v>
      </c>
      <c r="F11" s="1" t="s">
        <v>54</v>
      </c>
      <c r="G11" s="32" t="s">
        <v>57</v>
      </c>
      <c r="H11" s="32" t="s">
        <v>59</v>
      </c>
      <c r="I11" s="32" t="s">
        <v>5</v>
      </c>
      <c r="J11" s="32" t="s">
        <v>6</v>
      </c>
      <c r="K11" s="32" t="s">
        <v>7</v>
      </c>
      <c r="L11" s="32" t="s">
        <v>8</v>
      </c>
      <c r="M11" s="32" t="s">
        <v>60</v>
      </c>
      <c r="N11" s="32" t="s">
        <v>58</v>
      </c>
      <c r="O11" s="24"/>
      <c r="P11" s="24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">
      <c r="A12" s="15"/>
      <c r="B12" s="45" t="s">
        <v>55</v>
      </c>
      <c r="C12" s="48" t="s">
        <v>16</v>
      </c>
      <c r="D12" s="37" t="s">
        <v>36</v>
      </c>
      <c r="E12" s="33" t="s">
        <v>11</v>
      </c>
      <c r="F12" s="33"/>
      <c r="G12" s="33" t="s">
        <v>12</v>
      </c>
      <c r="H12" s="38" t="s">
        <v>13</v>
      </c>
      <c r="I12" s="33" t="s">
        <v>14</v>
      </c>
      <c r="J12" s="33" t="s">
        <v>15</v>
      </c>
      <c r="K12" s="33" t="s">
        <v>15</v>
      </c>
      <c r="L12" s="33" t="s">
        <v>15</v>
      </c>
      <c r="M12" s="33">
        <v>1</v>
      </c>
      <c r="N12" s="39">
        <v>73</v>
      </c>
      <c r="O12" s="25"/>
      <c r="P12" s="24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">
      <c r="A13" s="15"/>
      <c r="B13" s="46"/>
      <c r="C13" s="49"/>
      <c r="D13" s="37" t="s">
        <v>37</v>
      </c>
      <c r="E13" s="37" t="s">
        <v>9</v>
      </c>
      <c r="F13" s="37"/>
      <c r="G13" s="33" t="s">
        <v>18</v>
      </c>
      <c r="H13" s="40" t="s">
        <v>34</v>
      </c>
      <c r="I13" s="33" t="s">
        <v>10</v>
      </c>
      <c r="J13" s="33">
        <v>8</v>
      </c>
      <c r="K13" s="33">
        <v>32</v>
      </c>
      <c r="L13" s="41">
        <v>40</v>
      </c>
      <c r="M13" s="33">
        <v>8</v>
      </c>
      <c r="N13" s="39">
        <v>2620.8000000000002</v>
      </c>
      <c r="O13" s="25"/>
      <c r="P13" s="24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">
      <c r="A14" s="15"/>
      <c r="B14" s="46"/>
      <c r="C14" s="49"/>
      <c r="D14" s="37" t="s">
        <v>38</v>
      </c>
      <c r="E14" s="33" t="s">
        <v>9</v>
      </c>
      <c r="F14" s="33"/>
      <c r="G14" s="33" t="s">
        <v>18</v>
      </c>
      <c r="H14" s="40" t="s">
        <v>17</v>
      </c>
      <c r="I14" s="33" t="s">
        <v>10</v>
      </c>
      <c r="J14" s="33">
        <v>8</v>
      </c>
      <c r="K14" s="33">
        <v>32</v>
      </c>
      <c r="L14" s="41">
        <v>40</v>
      </c>
      <c r="M14" s="33">
        <v>1</v>
      </c>
      <c r="N14" s="39">
        <v>327.60000000000002</v>
      </c>
      <c r="O14" s="25"/>
      <c r="P14" s="24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">
      <c r="A15" s="15"/>
      <c r="B15" s="46"/>
      <c r="C15" s="50"/>
      <c r="D15" s="37" t="s">
        <v>39</v>
      </c>
      <c r="E15" s="33" t="s">
        <v>9</v>
      </c>
      <c r="F15" s="33"/>
      <c r="G15" s="33" t="s">
        <v>19</v>
      </c>
      <c r="H15" s="40" t="s">
        <v>17</v>
      </c>
      <c r="I15" s="33" t="s">
        <v>10</v>
      </c>
      <c r="J15" s="33">
        <v>8</v>
      </c>
      <c r="K15" s="33">
        <v>64</v>
      </c>
      <c r="L15" s="41">
        <v>40</v>
      </c>
      <c r="M15" s="33">
        <v>4</v>
      </c>
      <c r="N15" s="39">
        <v>137.19</v>
      </c>
      <c r="O15" s="25"/>
      <c r="P15" s="24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">
      <c r="A16" s="15"/>
      <c r="B16" s="46"/>
      <c r="C16" s="61"/>
      <c r="D16" s="37" t="s">
        <v>40</v>
      </c>
      <c r="E16" s="33" t="s">
        <v>9</v>
      </c>
      <c r="F16" s="33"/>
      <c r="G16" s="33" t="s">
        <v>44</v>
      </c>
      <c r="H16" s="40" t="s">
        <v>17</v>
      </c>
      <c r="I16" s="33" t="s">
        <v>10</v>
      </c>
      <c r="J16" s="33">
        <v>16</v>
      </c>
      <c r="K16" s="33">
        <v>64</v>
      </c>
      <c r="L16" s="41">
        <v>2500</v>
      </c>
      <c r="M16" s="33">
        <v>2</v>
      </c>
      <c r="N16" s="39">
        <v>1769.76</v>
      </c>
      <c r="O16" s="25"/>
      <c r="P16" s="24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">
      <c r="A17" s="15"/>
      <c r="B17" s="46"/>
      <c r="C17" s="62"/>
      <c r="D17" s="37" t="s">
        <v>41</v>
      </c>
      <c r="E17" s="33" t="s">
        <v>9</v>
      </c>
      <c r="F17" s="33"/>
      <c r="G17" s="33" t="s">
        <v>45</v>
      </c>
      <c r="H17" s="40" t="s">
        <v>17</v>
      </c>
      <c r="I17" s="33" t="s">
        <v>10</v>
      </c>
      <c r="J17" s="33">
        <v>8</v>
      </c>
      <c r="K17" s="33">
        <v>32</v>
      </c>
      <c r="L17" s="42">
        <v>1000</v>
      </c>
      <c r="M17" s="33">
        <v>2</v>
      </c>
      <c r="N17" s="39">
        <v>844.13</v>
      </c>
      <c r="O17" s="25"/>
      <c r="P17" s="24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">
      <c r="A18" s="15"/>
      <c r="B18" s="46"/>
      <c r="C18" s="60"/>
      <c r="D18" s="37" t="s">
        <v>42</v>
      </c>
      <c r="E18" s="33" t="s">
        <v>46</v>
      </c>
      <c r="F18" s="33"/>
      <c r="G18" s="33" t="s">
        <v>48</v>
      </c>
      <c r="H18" s="40" t="s">
        <v>49</v>
      </c>
      <c r="I18" s="33" t="s">
        <v>14</v>
      </c>
      <c r="J18" s="33">
        <v>4</v>
      </c>
      <c r="K18" s="33">
        <v>16</v>
      </c>
      <c r="L18" s="42">
        <v>2000</v>
      </c>
      <c r="M18" s="43">
        <v>1</v>
      </c>
      <c r="N18" s="39">
        <v>1286.49</v>
      </c>
      <c r="O18" s="25"/>
      <c r="P18" s="24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2">
      <c r="A19" s="15"/>
      <c r="B19" s="46"/>
      <c r="C19" s="60"/>
      <c r="D19" s="37" t="s">
        <v>43</v>
      </c>
      <c r="E19" s="33" t="s">
        <v>46</v>
      </c>
      <c r="F19" s="33"/>
      <c r="G19" s="33" t="s">
        <v>47</v>
      </c>
      <c r="H19" s="40" t="s">
        <v>50</v>
      </c>
      <c r="I19" s="33" t="s">
        <v>14</v>
      </c>
      <c r="J19" s="33">
        <v>2</v>
      </c>
      <c r="K19" s="33">
        <v>2</v>
      </c>
      <c r="L19" s="42">
        <v>50</v>
      </c>
      <c r="M19" s="43">
        <v>1</v>
      </c>
      <c r="N19" s="39">
        <v>47.78</v>
      </c>
      <c r="O19" s="25"/>
      <c r="P19" s="24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6" thickBot="1" x14ac:dyDescent="0.25">
      <c r="A20" s="15"/>
      <c r="B20" s="47"/>
      <c r="C20" s="34"/>
      <c r="D20" s="37" t="s">
        <v>52</v>
      </c>
      <c r="E20" s="33" t="s">
        <v>51</v>
      </c>
      <c r="F20" s="33"/>
      <c r="G20" s="33" t="s">
        <v>15</v>
      </c>
      <c r="H20" s="38" t="s">
        <v>53</v>
      </c>
      <c r="I20" s="33" t="s">
        <v>15</v>
      </c>
      <c r="J20" s="44" t="s">
        <v>15</v>
      </c>
      <c r="K20" s="44" t="s">
        <v>15</v>
      </c>
      <c r="L20" s="42" t="s">
        <v>15</v>
      </c>
      <c r="M20" s="43">
        <v>1</v>
      </c>
      <c r="N20" s="39">
        <v>3.54</v>
      </c>
      <c r="O20" s="25"/>
      <c r="P20" s="24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">
      <c r="A21" s="15"/>
      <c r="B21" s="2" t="s">
        <v>20</v>
      </c>
      <c r="C21" s="3"/>
      <c r="D21" s="35"/>
      <c r="E21" s="35"/>
      <c r="F21" s="35"/>
      <c r="G21" s="35"/>
      <c r="H21" s="35" t="s">
        <v>21</v>
      </c>
      <c r="I21" s="35"/>
      <c r="J21" s="35"/>
      <c r="K21" s="35"/>
      <c r="L21" s="35"/>
      <c r="M21" s="35"/>
      <c r="N21" s="36">
        <v>0</v>
      </c>
      <c r="O21" s="24"/>
      <c r="P21" s="24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">
      <c r="A22" s="15"/>
      <c r="B22" s="4" t="s">
        <v>22</v>
      </c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7">
        <v>0</v>
      </c>
      <c r="O22" s="24"/>
      <c r="P22" s="24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thickBot="1" x14ac:dyDescent="0.25">
      <c r="A23" s="15"/>
      <c r="B23" s="8" t="s">
        <v>23</v>
      </c>
      <c r="C23" s="9"/>
      <c r="D23" s="10" t="s">
        <v>24</v>
      </c>
      <c r="E23" s="10"/>
      <c r="F23" s="10"/>
      <c r="G23" s="10"/>
      <c r="H23" s="10"/>
      <c r="I23" s="10"/>
      <c r="J23" s="10"/>
      <c r="K23" s="10"/>
      <c r="L23" s="10"/>
      <c r="M23" s="10"/>
      <c r="N23" s="11"/>
      <c r="O23" s="24"/>
      <c r="P23" s="24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">
      <c r="A24" s="15"/>
      <c r="B24" s="51" t="s">
        <v>25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3"/>
      <c r="N24" s="12">
        <f>SUM(N12:N20)</f>
        <v>7110.29</v>
      </c>
      <c r="O24" s="24"/>
      <c r="P24" s="24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thickBot="1" x14ac:dyDescent="0.25">
      <c r="A25" s="15"/>
      <c r="B25" s="54" t="s">
        <v>26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6"/>
      <c r="N25" s="13">
        <f t="shared" ref="N25" si="0">N24*12+N21+N22</f>
        <v>85323.48</v>
      </c>
      <c r="O25" s="24"/>
      <c r="P25" s="24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2">
      <c r="A26" s="24"/>
      <c r="B26" s="24"/>
      <c r="C26" s="24"/>
      <c r="D26" s="26"/>
      <c r="E26" s="24"/>
      <c r="F26" s="24"/>
      <c r="G26" s="26"/>
      <c r="H26" s="24"/>
      <c r="I26" s="24"/>
      <c r="J26" s="24"/>
      <c r="K26" s="24"/>
      <c r="L26" s="24"/>
      <c r="M26" s="26"/>
      <c r="N26" s="24"/>
      <c r="O26" s="24"/>
      <c r="P26" s="24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">
      <c r="A27" s="24"/>
      <c r="B27" s="24"/>
      <c r="C27" s="24"/>
      <c r="D27" s="26"/>
      <c r="E27" s="24"/>
      <c r="F27" s="24"/>
      <c r="G27" s="26"/>
      <c r="H27" s="24"/>
      <c r="I27" s="24"/>
      <c r="J27" s="24"/>
      <c r="K27" s="24"/>
      <c r="L27" s="24"/>
      <c r="M27" s="26"/>
      <c r="N27" s="24"/>
      <c r="O27" s="24"/>
      <c r="P27" s="24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2">
      <c r="A28" s="24"/>
      <c r="B28" s="29"/>
      <c r="C28" s="14" t="s">
        <v>27</v>
      </c>
      <c r="D28" s="31"/>
      <c r="E28" s="30"/>
      <c r="F28" s="30"/>
      <c r="G28" s="26"/>
      <c r="H28" s="24"/>
      <c r="I28" s="24"/>
      <c r="J28" s="24"/>
      <c r="K28" s="24"/>
      <c r="L28" s="24"/>
      <c r="M28" s="26"/>
      <c r="N28" s="24"/>
      <c r="O28" s="24"/>
      <c r="P28" s="24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">
      <c r="A29" s="24"/>
      <c r="B29" s="29"/>
      <c r="C29" s="14" t="s">
        <v>28</v>
      </c>
      <c r="D29" s="31"/>
      <c r="E29" s="19"/>
      <c r="F29" s="19"/>
      <c r="G29" s="26"/>
      <c r="H29" s="24"/>
      <c r="I29" s="24"/>
      <c r="J29" s="24"/>
      <c r="K29" s="24"/>
      <c r="L29" s="24"/>
      <c r="M29" s="26"/>
      <c r="N29" s="24"/>
      <c r="O29" s="24"/>
      <c r="P29" s="24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2">
      <c r="A30" s="24"/>
      <c r="B30" s="28"/>
      <c r="C30" s="28"/>
      <c r="D30" s="31"/>
      <c r="E30" s="28"/>
      <c r="F30" s="28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2">
      <c r="A31" s="24"/>
      <c r="B31" s="28" t="s">
        <v>29</v>
      </c>
      <c r="C31" s="28"/>
      <c r="D31" s="30"/>
      <c r="E31" s="28"/>
      <c r="F31" s="28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2">
      <c r="A32" s="24"/>
      <c r="B32" s="28" t="s">
        <v>30</v>
      </c>
      <c r="C32" s="28"/>
      <c r="D32" s="30"/>
      <c r="E32" s="28"/>
      <c r="F32" s="28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">
      <c r="A33" s="24"/>
      <c r="B33" s="28" t="s">
        <v>31</v>
      </c>
      <c r="C33" s="28"/>
      <c r="D33" s="30"/>
      <c r="E33" s="28"/>
      <c r="F33" s="28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2">
      <c r="A34" s="24"/>
      <c r="B34" s="28" t="s">
        <v>32</v>
      </c>
      <c r="C34" s="28"/>
      <c r="D34" s="30"/>
      <c r="E34" s="28"/>
      <c r="F34" s="28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2">
      <c r="A35" s="24"/>
      <c r="B35" s="28" t="s">
        <v>33</v>
      </c>
      <c r="C35" s="28"/>
      <c r="D35" s="30"/>
      <c r="E35" s="16"/>
      <c r="F35" s="16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24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24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24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24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24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24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24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24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24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24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24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">
      <c r="A82" s="15"/>
      <c r="B82" s="15"/>
      <c r="C82" s="15"/>
      <c r="D82" s="23"/>
      <c r="E82" s="23"/>
      <c r="F82" s="23"/>
      <c r="G82" s="15"/>
      <c r="H82" s="23"/>
      <c r="I82" s="15"/>
      <c r="J82" s="15"/>
      <c r="K82" s="15"/>
      <c r="L82" s="15"/>
      <c r="M82" s="15"/>
      <c r="N82" s="23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">
      <c r="A83" s="15"/>
      <c r="B83" s="15"/>
      <c r="C83" s="15"/>
      <c r="D83" s="23"/>
      <c r="E83" s="23"/>
      <c r="F83" s="23"/>
      <c r="G83" s="15"/>
      <c r="H83" s="23"/>
      <c r="I83" s="15"/>
      <c r="J83" s="15"/>
      <c r="K83" s="15"/>
      <c r="L83" s="15"/>
      <c r="M83" s="15"/>
      <c r="N83" s="23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">
      <c r="A84" s="15"/>
      <c r="B84" s="15"/>
      <c r="C84" s="15"/>
      <c r="D84" s="23"/>
      <c r="E84" s="23"/>
      <c r="F84" s="23"/>
      <c r="G84" s="15"/>
      <c r="H84" s="23"/>
      <c r="I84" s="15"/>
      <c r="J84" s="15"/>
      <c r="K84" s="15"/>
      <c r="L84" s="15"/>
      <c r="M84" s="15"/>
      <c r="N84" s="23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">
      <c r="A85" s="15"/>
      <c r="B85" s="15"/>
      <c r="C85" s="15"/>
      <c r="D85" s="23"/>
      <c r="E85" s="23"/>
      <c r="F85" s="23"/>
      <c r="G85" s="15"/>
      <c r="H85" s="23"/>
      <c r="I85" s="15"/>
      <c r="J85" s="15"/>
      <c r="K85" s="15"/>
      <c r="L85" s="15"/>
      <c r="M85" s="15"/>
      <c r="N85" s="23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">
      <c r="A86" s="15"/>
      <c r="B86" s="15"/>
      <c r="C86" s="15"/>
      <c r="D86" s="23"/>
      <c r="E86" s="23"/>
      <c r="F86" s="23"/>
      <c r="G86" s="15"/>
      <c r="H86" s="23"/>
      <c r="I86" s="15"/>
      <c r="J86" s="15"/>
      <c r="K86" s="15"/>
      <c r="L86" s="15"/>
      <c r="M86" s="15"/>
      <c r="N86" s="23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">
      <c r="A87" s="15"/>
      <c r="B87" s="15"/>
      <c r="C87" s="15"/>
      <c r="D87" s="23"/>
      <c r="E87" s="23"/>
      <c r="F87" s="23"/>
      <c r="G87" s="15"/>
      <c r="H87" s="23"/>
      <c r="I87" s="15"/>
      <c r="J87" s="15"/>
      <c r="K87" s="15"/>
      <c r="L87" s="15"/>
      <c r="M87" s="15"/>
      <c r="N87" s="23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">
      <c r="A88" s="15"/>
      <c r="B88" s="15"/>
      <c r="C88" s="15"/>
      <c r="D88" s="23"/>
      <c r="E88" s="23"/>
      <c r="F88" s="23"/>
      <c r="G88" s="15"/>
      <c r="H88" s="23"/>
      <c r="I88" s="15"/>
      <c r="J88" s="15"/>
      <c r="K88" s="15"/>
      <c r="L88" s="15"/>
      <c r="M88" s="15"/>
      <c r="N88" s="23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">
      <c r="A89" s="15"/>
      <c r="B89" s="15"/>
      <c r="C89" s="15"/>
      <c r="D89" s="23"/>
      <c r="E89" s="23"/>
      <c r="F89" s="23"/>
      <c r="G89" s="15"/>
      <c r="H89" s="23"/>
      <c r="I89" s="15"/>
      <c r="J89" s="15"/>
      <c r="K89" s="15"/>
      <c r="L89" s="15"/>
      <c r="M89" s="15"/>
      <c r="N89" s="23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">
      <c r="A90" s="15"/>
      <c r="B90" s="15"/>
      <c r="C90" s="15"/>
      <c r="D90" s="23"/>
      <c r="E90" s="23"/>
      <c r="F90" s="23"/>
      <c r="G90" s="15"/>
      <c r="H90" s="23"/>
      <c r="I90" s="15"/>
      <c r="J90" s="15"/>
      <c r="K90" s="15"/>
      <c r="L90" s="15"/>
      <c r="M90" s="15"/>
      <c r="N90" s="23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">
      <c r="A91" s="15"/>
      <c r="B91" s="15"/>
      <c r="C91" s="15"/>
      <c r="D91" s="23"/>
      <c r="E91" s="23"/>
      <c r="F91" s="23"/>
      <c r="G91" s="15"/>
      <c r="H91" s="23"/>
      <c r="I91" s="15"/>
      <c r="J91" s="15"/>
      <c r="K91" s="15"/>
      <c r="L91" s="15"/>
      <c r="M91" s="15"/>
      <c r="N91" s="23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">
      <c r="A92" s="15"/>
      <c r="B92" s="15"/>
      <c r="C92" s="15"/>
      <c r="D92" s="23"/>
      <c r="E92" s="23"/>
      <c r="F92" s="23"/>
      <c r="G92" s="15"/>
      <c r="H92" s="23"/>
      <c r="I92" s="15"/>
      <c r="J92" s="15"/>
      <c r="K92" s="15"/>
      <c r="L92" s="15"/>
      <c r="M92" s="15"/>
      <c r="N92" s="23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">
      <c r="A93" s="15"/>
      <c r="B93" s="15"/>
      <c r="C93" s="15"/>
      <c r="D93" s="23"/>
      <c r="E93" s="23"/>
      <c r="F93" s="23"/>
      <c r="G93" s="15"/>
      <c r="H93" s="23"/>
      <c r="I93" s="15"/>
      <c r="J93" s="15"/>
      <c r="K93" s="15"/>
      <c r="L93" s="15"/>
      <c r="M93" s="15"/>
      <c r="N93" s="23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">
      <c r="A94" s="15"/>
      <c r="B94" s="15"/>
      <c r="C94" s="15"/>
      <c r="D94" s="23"/>
      <c r="E94" s="23"/>
      <c r="F94" s="23"/>
      <c r="G94" s="15"/>
      <c r="H94" s="23"/>
      <c r="I94" s="15"/>
      <c r="J94" s="15"/>
      <c r="K94" s="15"/>
      <c r="L94" s="15"/>
      <c r="M94" s="15"/>
      <c r="N94" s="23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">
      <c r="A95" s="15"/>
      <c r="B95" s="15"/>
      <c r="C95" s="15"/>
      <c r="D95" s="23"/>
      <c r="E95" s="23"/>
      <c r="F95" s="23"/>
      <c r="G95" s="15"/>
      <c r="H95" s="23"/>
      <c r="I95" s="15"/>
      <c r="J95" s="15"/>
      <c r="K95" s="15"/>
      <c r="L95" s="15"/>
      <c r="M95" s="15"/>
      <c r="N95" s="23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">
      <c r="A96" s="15"/>
      <c r="B96" s="15"/>
      <c r="C96" s="15"/>
      <c r="D96" s="23"/>
      <c r="E96" s="23"/>
      <c r="F96" s="23"/>
      <c r="G96" s="15"/>
      <c r="H96" s="23"/>
      <c r="I96" s="15"/>
      <c r="J96" s="15"/>
      <c r="K96" s="15"/>
      <c r="L96" s="15"/>
      <c r="M96" s="15"/>
      <c r="N96" s="23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">
      <c r="A97" s="15"/>
      <c r="B97" s="15"/>
      <c r="C97" s="15"/>
      <c r="D97" s="23"/>
      <c r="E97" s="23"/>
      <c r="F97" s="23"/>
      <c r="G97" s="15"/>
      <c r="H97" s="23"/>
      <c r="I97" s="15"/>
      <c r="J97" s="15"/>
      <c r="K97" s="15"/>
      <c r="L97" s="15"/>
      <c r="M97" s="15"/>
      <c r="N97" s="23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">
      <c r="A98" s="15"/>
      <c r="B98" s="15"/>
      <c r="C98" s="15"/>
      <c r="D98" s="23"/>
      <c r="E98" s="23"/>
      <c r="F98" s="23"/>
      <c r="G98" s="15"/>
      <c r="H98" s="23"/>
      <c r="I98" s="15"/>
      <c r="J98" s="15"/>
      <c r="K98" s="15"/>
      <c r="L98" s="15"/>
      <c r="M98" s="15"/>
      <c r="N98" s="23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">
      <c r="A99" s="15"/>
      <c r="B99" s="15"/>
      <c r="C99" s="15"/>
      <c r="D99" s="23"/>
      <c r="E99" s="23"/>
      <c r="F99" s="23"/>
      <c r="G99" s="15"/>
      <c r="H99" s="23"/>
      <c r="I99" s="15"/>
      <c r="J99" s="15"/>
      <c r="K99" s="15"/>
      <c r="L99" s="15"/>
      <c r="M99" s="15"/>
      <c r="N99" s="23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">
      <c r="A100" s="15"/>
      <c r="B100" s="15"/>
      <c r="C100" s="15"/>
      <c r="D100" s="23"/>
      <c r="E100" s="23"/>
      <c r="F100" s="23"/>
      <c r="G100" s="15"/>
      <c r="H100" s="23"/>
      <c r="I100" s="15"/>
      <c r="J100" s="15"/>
      <c r="K100" s="15"/>
      <c r="L100" s="15"/>
      <c r="M100" s="15"/>
      <c r="N100" s="23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">
      <c r="A101" s="15"/>
      <c r="B101" s="15"/>
      <c r="C101" s="15"/>
      <c r="D101" s="23"/>
      <c r="E101" s="23"/>
      <c r="F101" s="23"/>
      <c r="G101" s="15"/>
      <c r="H101" s="23"/>
      <c r="I101" s="15"/>
      <c r="J101" s="15"/>
      <c r="K101" s="15"/>
      <c r="L101" s="15"/>
      <c r="M101" s="15"/>
      <c r="N101" s="23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">
      <c r="A102" s="15"/>
      <c r="B102" s="15"/>
      <c r="C102" s="15"/>
      <c r="D102" s="23"/>
      <c r="E102" s="23"/>
      <c r="F102" s="23"/>
      <c r="G102" s="15"/>
      <c r="H102" s="23"/>
      <c r="I102" s="15"/>
      <c r="J102" s="15"/>
      <c r="K102" s="15"/>
      <c r="L102" s="15"/>
      <c r="M102" s="15"/>
      <c r="N102" s="23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">
      <c r="A103" s="15"/>
      <c r="B103" s="15"/>
      <c r="C103" s="15"/>
      <c r="D103" s="23"/>
      <c r="E103" s="23"/>
      <c r="F103" s="23"/>
      <c r="G103" s="15"/>
      <c r="H103" s="23"/>
      <c r="I103" s="15"/>
      <c r="J103" s="15"/>
      <c r="K103" s="15"/>
      <c r="L103" s="15"/>
      <c r="M103" s="15"/>
      <c r="N103" s="23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">
      <c r="A104" s="15"/>
      <c r="B104" s="15"/>
      <c r="C104" s="15"/>
      <c r="D104" s="23"/>
      <c r="E104" s="23"/>
      <c r="F104" s="23"/>
      <c r="G104" s="15"/>
      <c r="H104" s="23"/>
      <c r="I104" s="15"/>
      <c r="J104" s="15"/>
      <c r="K104" s="15"/>
      <c r="L104" s="15"/>
      <c r="M104" s="15"/>
      <c r="N104" s="23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">
      <c r="A105" s="15"/>
      <c r="B105" s="15"/>
      <c r="C105" s="15"/>
      <c r="D105" s="23"/>
      <c r="E105" s="23"/>
      <c r="F105" s="23"/>
      <c r="G105" s="15"/>
      <c r="H105" s="23"/>
      <c r="I105" s="15"/>
      <c r="J105" s="15"/>
      <c r="K105" s="15"/>
      <c r="L105" s="15"/>
      <c r="M105" s="15"/>
      <c r="N105" s="23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">
      <c r="A106" s="15"/>
      <c r="B106" s="15"/>
      <c r="C106" s="15"/>
      <c r="D106" s="23"/>
      <c r="E106" s="23"/>
      <c r="F106" s="23"/>
      <c r="G106" s="15"/>
      <c r="H106" s="23"/>
      <c r="I106" s="15"/>
      <c r="J106" s="15"/>
      <c r="K106" s="15"/>
      <c r="L106" s="15"/>
      <c r="M106" s="15"/>
      <c r="N106" s="23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">
      <c r="A107" s="15"/>
      <c r="B107" s="15"/>
      <c r="C107" s="15"/>
      <c r="D107" s="23"/>
      <c r="E107" s="23"/>
      <c r="F107" s="23"/>
      <c r="G107" s="15"/>
      <c r="H107" s="23"/>
      <c r="I107" s="15"/>
      <c r="J107" s="15"/>
      <c r="K107" s="15"/>
      <c r="L107" s="15"/>
      <c r="M107" s="15"/>
      <c r="N107" s="23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">
      <c r="A108" s="15"/>
      <c r="B108" s="15"/>
      <c r="C108" s="15"/>
      <c r="D108" s="23"/>
      <c r="E108" s="23"/>
      <c r="F108" s="23"/>
      <c r="G108" s="15"/>
      <c r="H108" s="23"/>
      <c r="I108" s="15"/>
      <c r="J108" s="15"/>
      <c r="K108" s="15"/>
      <c r="L108" s="15"/>
      <c r="M108" s="15"/>
      <c r="N108" s="23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">
      <c r="A109" s="15"/>
      <c r="B109" s="15"/>
      <c r="C109" s="15"/>
      <c r="D109" s="23"/>
      <c r="E109" s="23"/>
      <c r="F109" s="23"/>
      <c r="G109" s="15"/>
      <c r="H109" s="23"/>
      <c r="I109" s="15"/>
      <c r="J109" s="15"/>
      <c r="K109" s="15"/>
      <c r="L109" s="15"/>
      <c r="M109" s="15"/>
      <c r="N109" s="23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">
      <c r="A110" s="15"/>
      <c r="B110" s="15"/>
      <c r="C110" s="15"/>
      <c r="D110" s="23"/>
      <c r="E110" s="23"/>
      <c r="F110" s="23"/>
      <c r="G110" s="15"/>
      <c r="H110" s="23"/>
      <c r="I110" s="15"/>
      <c r="J110" s="15"/>
      <c r="K110" s="15"/>
      <c r="L110" s="15"/>
      <c r="M110" s="15"/>
      <c r="N110" s="23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">
      <c r="A111" s="15"/>
      <c r="B111" s="15"/>
      <c r="C111" s="15"/>
      <c r="D111" s="23"/>
      <c r="E111" s="23"/>
      <c r="F111" s="23"/>
      <c r="G111" s="15"/>
      <c r="H111" s="23"/>
      <c r="I111" s="15"/>
      <c r="J111" s="15"/>
      <c r="K111" s="15"/>
      <c r="L111" s="15"/>
      <c r="M111" s="15"/>
      <c r="N111" s="23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">
      <c r="A112" s="15"/>
      <c r="B112" s="15"/>
      <c r="C112" s="15"/>
      <c r="D112" s="23"/>
      <c r="E112" s="23"/>
      <c r="F112" s="23"/>
      <c r="G112" s="15"/>
      <c r="H112" s="23"/>
      <c r="I112" s="15"/>
      <c r="J112" s="15"/>
      <c r="K112" s="15"/>
      <c r="L112" s="15"/>
      <c r="M112" s="15"/>
      <c r="N112" s="23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">
      <c r="A113" s="15"/>
      <c r="B113" s="15"/>
      <c r="C113" s="15"/>
      <c r="D113" s="23"/>
      <c r="E113" s="23"/>
      <c r="F113" s="23"/>
      <c r="G113" s="15"/>
      <c r="H113" s="23"/>
      <c r="I113" s="15"/>
      <c r="J113" s="15"/>
      <c r="K113" s="15"/>
      <c r="L113" s="15"/>
      <c r="M113" s="15"/>
      <c r="N113" s="23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">
      <c r="A114" s="15"/>
      <c r="B114" s="15"/>
      <c r="C114" s="15"/>
      <c r="D114" s="23"/>
      <c r="E114" s="23"/>
      <c r="F114" s="23"/>
      <c r="G114" s="15"/>
      <c r="H114" s="23"/>
      <c r="I114" s="15"/>
      <c r="J114" s="15"/>
      <c r="K114" s="15"/>
      <c r="L114" s="15"/>
      <c r="M114" s="15"/>
      <c r="N114" s="23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">
      <c r="A115" s="15"/>
      <c r="B115" s="15"/>
      <c r="C115" s="15"/>
      <c r="D115" s="23"/>
      <c r="E115" s="23"/>
      <c r="F115" s="23"/>
      <c r="G115" s="15"/>
      <c r="H115" s="23"/>
      <c r="I115" s="15"/>
      <c r="J115" s="15"/>
      <c r="K115" s="15"/>
      <c r="L115" s="15"/>
      <c r="M115" s="15"/>
      <c r="N115" s="23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">
      <c r="A116" s="15"/>
      <c r="B116" s="15"/>
      <c r="C116" s="15"/>
      <c r="D116" s="23"/>
      <c r="E116" s="23"/>
      <c r="F116" s="23"/>
      <c r="G116" s="15"/>
      <c r="H116" s="23"/>
      <c r="I116" s="15"/>
      <c r="J116" s="15"/>
      <c r="K116" s="15"/>
      <c r="L116" s="15"/>
      <c r="M116" s="15"/>
      <c r="N116" s="23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">
      <c r="A117" s="15"/>
      <c r="B117" s="15"/>
      <c r="C117" s="15"/>
      <c r="D117" s="23"/>
      <c r="E117" s="23"/>
      <c r="F117" s="23"/>
      <c r="G117" s="15"/>
      <c r="H117" s="23"/>
      <c r="I117" s="15"/>
      <c r="J117" s="15"/>
      <c r="K117" s="15"/>
      <c r="L117" s="15"/>
      <c r="M117" s="15"/>
      <c r="N117" s="23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">
      <c r="A118" s="15"/>
      <c r="B118" s="15"/>
      <c r="C118" s="15"/>
      <c r="D118" s="23"/>
      <c r="E118" s="23"/>
      <c r="F118" s="23"/>
      <c r="G118" s="15"/>
      <c r="H118" s="23"/>
      <c r="I118" s="15"/>
      <c r="J118" s="15"/>
      <c r="K118" s="15"/>
      <c r="L118" s="15"/>
      <c r="M118" s="15"/>
      <c r="N118" s="23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">
      <c r="A119" s="15"/>
      <c r="B119" s="15"/>
      <c r="C119" s="15"/>
      <c r="D119" s="23"/>
      <c r="E119" s="23"/>
      <c r="F119" s="23"/>
      <c r="G119" s="15"/>
      <c r="H119" s="23"/>
      <c r="I119" s="15"/>
      <c r="J119" s="15"/>
      <c r="K119" s="15"/>
      <c r="L119" s="15"/>
      <c r="M119" s="15"/>
      <c r="N119" s="23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">
      <c r="A120" s="15"/>
      <c r="B120" s="15"/>
      <c r="C120" s="15"/>
      <c r="D120" s="23"/>
      <c r="E120" s="23"/>
      <c r="F120" s="23"/>
      <c r="G120" s="15"/>
      <c r="H120" s="23"/>
      <c r="I120" s="15"/>
      <c r="J120" s="15"/>
      <c r="K120" s="15"/>
      <c r="L120" s="15"/>
      <c r="M120" s="15"/>
      <c r="N120" s="23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">
      <c r="A121" s="15"/>
      <c r="B121" s="15"/>
      <c r="C121" s="15"/>
      <c r="D121" s="23"/>
      <c r="E121" s="23"/>
      <c r="F121" s="23"/>
      <c r="G121" s="15"/>
      <c r="H121" s="23"/>
      <c r="I121" s="15"/>
      <c r="J121" s="15"/>
      <c r="K121" s="15"/>
      <c r="L121" s="15"/>
      <c r="M121" s="15"/>
      <c r="N121" s="23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">
      <c r="A122" s="15"/>
      <c r="B122" s="15"/>
      <c r="C122" s="15"/>
      <c r="D122" s="23"/>
      <c r="E122" s="23"/>
      <c r="F122" s="23"/>
      <c r="G122" s="15"/>
      <c r="H122" s="23"/>
      <c r="I122" s="15"/>
      <c r="J122" s="15"/>
      <c r="K122" s="15"/>
      <c r="L122" s="15"/>
      <c r="M122" s="15"/>
      <c r="N122" s="23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">
      <c r="A123" s="15"/>
      <c r="B123" s="15"/>
      <c r="C123" s="15"/>
      <c r="D123" s="23"/>
      <c r="E123" s="23"/>
      <c r="F123" s="23"/>
      <c r="G123" s="15"/>
      <c r="H123" s="23"/>
      <c r="I123" s="15"/>
      <c r="J123" s="15"/>
      <c r="K123" s="15"/>
      <c r="L123" s="15"/>
      <c r="M123" s="15"/>
      <c r="N123" s="23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">
      <c r="A124" s="15"/>
      <c r="B124" s="15"/>
      <c r="C124" s="15"/>
      <c r="D124" s="23"/>
      <c r="E124" s="23"/>
      <c r="F124" s="23"/>
      <c r="G124" s="15"/>
      <c r="H124" s="23"/>
      <c r="I124" s="15"/>
      <c r="J124" s="15"/>
      <c r="K124" s="15"/>
      <c r="L124" s="15"/>
      <c r="M124" s="15"/>
      <c r="N124" s="23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">
      <c r="A125" s="15"/>
      <c r="B125" s="15"/>
      <c r="C125" s="15"/>
      <c r="D125" s="23"/>
      <c r="E125" s="23"/>
      <c r="F125" s="23"/>
      <c r="G125" s="15"/>
      <c r="H125" s="23"/>
      <c r="I125" s="15"/>
      <c r="J125" s="15"/>
      <c r="K125" s="15"/>
      <c r="L125" s="15"/>
      <c r="M125" s="15"/>
      <c r="N125" s="23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">
      <c r="A126" s="15"/>
      <c r="B126" s="15"/>
      <c r="C126" s="15"/>
      <c r="D126" s="23"/>
      <c r="E126" s="23"/>
      <c r="F126" s="23"/>
      <c r="G126" s="15"/>
      <c r="H126" s="23"/>
      <c r="I126" s="15"/>
      <c r="J126" s="15"/>
      <c r="K126" s="15"/>
      <c r="L126" s="15"/>
      <c r="M126" s="15"/>
      <c r="N126" s="23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">
      <c r="A127" s="15"/>
      <c r="B127" s="15"/>
      <c r="C127" s="15"/>
      <c r="D127" s="23"/>
      <c r="E127" s="23"/>
      <c r="F127" s="23"/>
      <c r="G127" s="15"/>
      <c r="H127" s="23"/>
      <c r="I127" s="15"/>
      <c r="J127" s="15"/>
      <c r="K127" s="15"/>
      <c r="L127" s="15"/>
      <c r="M127" s="15"/>
      <c r="N127" s="23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">
      <c r="A128" s="15"/>
      <c r="B128" s="15"/>
      <c r="C128" s="15"/>
      <c r="D128" s="23"/>
      <c r="E128" s="23"/>
      <c r="F128" s="23"/>
      <c r="G128" s="15"/>
      <c r="H128" s="23"/>
      <c r="I128" s="15"/>
      <c r="J128" s="15"/>
      <c r="K128" s="15"/>
      <c r="L128" s="15"/>
      <c r="M128" s="15"/>
      <c r="N128" s="23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">
      <c r="A129" s="15"/>
      <c r="B129" s="15"/>
      <c r="C129" s="15"/>
      <c r="D129" s="23"/>
      <c r="E129" s="23"/>
      <c r="F129" s="23"/>
      <c r="G129" s="15"/>
      <c r="H129" s="23"/>
      <c r="I129" s="15"/>
      <c r="J129" s="15"/>
      <c r="K129" s="15"/>
      <c r="L129" s="15"/>
      <c r="M129" s="15"/>
      <c r="N129" s="23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">
      <c r="A130" s="15"/>
      <c r="B130" s="15"/>
      <c r="C130" s="15"/>
      <c r="D130" s="23"/>
      <c r="E130" s="23"/>
      <c r="F130" s="23"/>
      <c r="G130" s="15"/>
      <c r="H130" s="23"/>
      <c r="I130" s="15"/>
      <c r="J130" s="15"/>
      <c r="K130" s="15"/>
      <c r="L130" s="15"/>
      <c r="M130" s="15"/>
      <c r="N130" s="23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">
      <c r="A131" s="15"/>
      <c r="B131" s="15"/>
      <c r="C131" s="15"/>
      <c r="D131" s="23"/>
      <c r="E131" s="23"/>
      <c r="F131" s="23"/>
      <c r="G131" s="15"/>
      <c r="H131" s="23"/>
      <c r="I131" s="15"/>
      <c r="J131" s="15"/>
      <c r="K131" s="15"/>
      <c r="L131" s="15"/>
      <c r="M131" s="15"/>
      <c r="N131" s="23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">
      <c r="A132" s="15"/>
      <c r="B132" s="15"/>
      <c r="C132" s="15"/>
      <c r="D132" s="23"/>
      <c r="E132" s="23"/>
      <c r="F132" s="23"/>
      <c r="G132" s="15"/>
      <c r="H132" s="23"/>
      <c r="I132" s="15"/>
      <c r="J132" s="15"/>
      <c r="K132" s="15"/>
      <c r="L132" s="15"/>
      <c r="M132" s="15"/>
      <c r="N132" s="23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">
      <c r="A133" s="15"/>
      <c r="B133" s="15"/>
      <c r="C133" s="15"/>
      <c r="D133" s="23"/>
      <c r="E133" s="23"/>
      <c r="F133" s="23"/>
      <c r="G133" s="15"/>
      <c r="H133" s="23"/>
      <c r="I133" s="15"/>
      <c r="J133" s="15"/>
      <c r="K133" s="15"/>
      <c r="L133" s="15"/>
      <c r="M133" s="15"/>
      <c r="N133" s="23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">
      <c r="A134" s="15"/>
      <c r="B134" s="15"/>
      <c r="C134" s="15"/>
      <c r="D134" s="23"/>
      <c r="E134" s="23"/>
      <c r="F134" s="23"/>
      <c r="G134" s="15"/>
      <c r="H134" s="23"/>
      <c r="I134" s="15"/>
      <c r="J134" s="15"/>
      <c r="K134" s="15"/>
      <c r="L134" s="15"/>
      <c r="M134" s="15"/>
      <c r="N134" s="23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">
      <c r="A135" s="15"/>
      <c r="B135" s="15"/>
      <c r="C135" s="15"/>
      <c r="D135" s="23"/>
      <c r="E135" s="23"/>
      <c r="F135" s="23"/>
      <c r="G135" s="15"/>
      <c r="H135" s="23"/>
      <c r="I135" s="15"/>
      <c r="J135" s="15"/>
      <c r="K135" s="15"/>
      <c r="L135" s="15"/>
      <c r="M135" s="15"/>
      <c r="N135" s="23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">
      <c r="A136" s="15"/>
      <c r="B136" s="15"/>
      <c r="C136" s="15"/>
      <c r="D136" s="23"/>
      <c r="E136" s="23"/>
      <c r="F136" s="23"/>
      <c r="G136" s="15"/>
      <c r="H136" s="23"/>
      <c r="I136" s="15"/>
      <c r="J136" s="15"/>
      <c r="K136" s="15"/>
      <c r="L136" s="15"/>
      <c r="M136" s="15"/>
      <c r="N136" s="23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">
      <c r="A137" s="15"/>
      <c r="B137" s="15"/>
      <c r="C137" s="15"/>
      <c r="D137" s="23"/>
      <c r="E137" s="23"/>
      <c r="F137" s="23"/>
      <c r="G137" s="15"/>
      <c r="H137" s="23"/>
      <c r="I137" s="15"/>
      <c r="J137" s="15"/>
      <c r="K137" s="15"/>
      <c r="L137" s="15"/>
      <c r="M137" s="15"/>
      <c r="N137" s="23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">
      <c r="A138" s="15"/>
      <c r="B138" s="15"/>
      <c r="C138" s="15"/>
      <c r="D138" s="23"/>
      <c r="E138" s="23"/>
      <c r="F138" s="23"/>
      <c r="G138" s="15"/>
      <c r="H138" s="23"/>
      <c r="I138" s="15"/>
      <c r="J138" s="15"/>
      <c r="K138" s="15"/>
      <c r="L138" s="15"/>
      <c r="M138" s="15"/>
      <c r="N138" s="23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">
      <c r="A139" s="15"/>
      <c r="B139" s="15"/>
      <c r="C139" s="15"/>
      <c r="D139" s="23"/>
      <c r="E139" s="23"/>
      <c r="F139" s="23"/>
      <c r="G139" s="15"/>
      <c r="H139" s="23"/>
      <c r="I139" s="15"/>
      <c r="J139" s="15"/>
      <c r="K139" s="15"/>
      <c r="L139" s="15"/>
      <c r="M139" s="15"/>
      <c r="N139" s="23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">
      <c r="A140" s="15"/>
      <c r="B140" s="15"/>
      <c r="C140" s="15"/>
      <c r="D140" s="23"/>
      <c r="E140" s="23"/>
      <c r="F140" s="23"/>
      <c r="G140" s="15"/>
      <c r="H140" s="23"/>
      <c r="I140" s="15"/>
      <c r="J140" s="15"/>
      <c r="K140" s="15"/>
      <c r="L140" s="15"/>
      <c r="M140" s="15"/>
      <c r="N140" s="23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">
      <c r="A141" s="15"/>
      <c r="B141" s="15"/>
      <c r="C141" s="15"/>
      <c r="D141" s="23"/>
      <c r="E141" s="23"/>
      <c r="F141" s="23"/>
      <c r="G141" s="15"/>
      <c r="H141" s="23"/>
      <c r="I141" s="15"/>
      <c r="J141" s="15"/>
      <c r="K141" s="15"/>
      <c r="L141" s="15"/>
      <c r="M141" s="15"/>
      <c r="N141" s="23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">
      <c r="A142" s="15"/>
      <c r="B142" s="15"/>
      <c r="C142" s="15"/>
      <c r="D142" s="23"/>
      <c r="E142" s="23"/>
      <c r="F142" s="23"/>
      <c r="G142" s="15"/>
      <c r="H142" s="23"/>
      <c r="I142" s="15"/>
      <c r="J142" s="15"/>
      <c r="K142" s="15"/>
      <c r="L142" s="15"/>
      <c r="M142" s="15"/>
      <c r="N142" s="23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">
      <c r="A143" s="15"/>
      <c r="B143" s="15"/>
      <c r="C143" s="15"/>
      <c r="D143" s="23"/>
      <c r="E143" s="23"/>
      <c r="F143" s="23"/>
      <c r="G143" s="15"/>
      <c r="H143" s="23"/>
      <c r="I143" s="15"/>
      <c r="J143" s="15"/>
      <c r="K143" s="15"/>
      <c r="L143" s="15"/>
      <c r="M143" s="15"/>
      <c r="N143" s="23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">
      <c r="A144" s="15"/>
      <c r="B144" s="15"/>
      <c r="C144" s="15"/>
      <c r="D144" s="23"/>
      <c r="E144" s="23"/>
      <c r="F144" s="23"/>
      <c r="G144" s="15"/>
      <c r="H144" s="23"/>
      <c r="I144" s="15"/>
      <c r="J144" s="15"/>
      <c r="K144" s="15"/>
      <c r="L144" s="15"/>
      <c r="M144" s="15"/>
      <c r="N144" s="23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">
      <c r="A145" s="15"/>
      <c r="B145" s="15"/>
      <c r="C145" s="15"/>
      <c r="D145" s="23"/>
      <c r="E145" s="23"/>
      <c r="F145" s="23"/>
      <c r="G145" s="15"/>
      <c r="H145" s="23"/>
      <c r="I145" s="15"/>
      <c r="J145" s="15"/>
      <c r="K145" s="15"/>
      <c r="L145" s="15"/>
      <c r="M145" s="15"/>
      <c r="N145" s="23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">
      <c r="A146" s="15"/>
      <c r="B146" s="15"/>
      <c r="C146" s="15"/>
      <c r="D146" s="23"/>
      <c r="E146" s="23"/>
      <c r="F146" s="23"/>
      <c r="G146" s="15"/>
      <c r="H146" s="23"/>
      <c r="I146" s="15"/>
      <c r="J146" s="15"/>
      <c r="K146" s="15"/>
      <c r="L146" s="15"/>
      <c r="M146" s="15"/>
      <c r="N146" s="23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">
      <c r="A147" s="15"/>
      <c r="B147" s="15"/>
      <c r="C147" s="15"/>
      <c r="D147" s="23"/>
      <c r="E147" s="23"/>
      <c r="F147" s="23"/>
      <c r="G147" s="15"/>
      <c r="H147" s="23"/>
      <c r="I147" s="15"/>
      <c r="J147" s="15"/>
      <c r="K147" s="15"/>
      <c r="L147" s="15"/>
      <c r="M147" s="15"/>
      <c r="N147" s="23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">
      <c r="A148" s="15"/>
      <c r="B148" s="15"/>
      <c r="C148" s="15"/>
      <c r="D148" s="23"/>
      <c r="E148" s="23"/>
      <c r="F148" s="23"/>
      <c r="G148" s="15"/>
      <c r="H148" s="23"/>
      <c r="I148" s="15"/>
      <c r="J148" s="15"/>
      <c r="K148" s="15"/>
      <c r="L148" s="15"/>
      <c r="M148" s="15"/>
      <c r="N148" s="23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">
      <c r="A149" s="15"/>
      <c r="B149" s="15"/>
      <c r="C149" s="15"/>
      <c r="D149" s="23"/>
      <c r="E149" s="23"/>
      <c r="F149" s="23"/>
      <c r="G149" s="15"/>
      <c r="H149" s="23"/>
      <c r="I149" s="15"/>
      <c r="J149" s="15"/>
      <c r="K149" s="15"/>
      <c r="L149" s="15"/>
      <c r="M149" s="15"/>
      <c r="N149" s="23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">
      <c r="A150" s="15"/>
      <c r="B150" s="15"/>
      <c r="C150" s="15"/>
      <c r="D150" s="23"/>
      <c r="E150" s="23"/>
      <c r="F150" s="23"/>
      <c r="G150" s="15"/>
      <c r="H150" s="23"/>
      <c r="I150" s="15"/>
      <c r="J150" s="15"/>
      <c r="K150" s="15"/>
      <c r="L150" s="15"/>
      <c r="M150" s="15"/>
      <c r="N150" s="23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">
      <c r="A151" s="15"/>
      <c r="B151" s="15"/>
      <c r="C151" s="15"/>
      <c r="D151" s="23"/>
      <c r="E151" s="23"/>
      <c r="F151" s="23"/>
      <c r="G151" s="15"/>
      <c r="H151" s="23"/>
      <c r="I151" s="15"/>
      <c r="J151" s="15"/>
      <c r="K151" s="15"/>
      <c r="L151" s="15"/>
      <c r="M151" s="15"/>
      <c r="N151" s="23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">
      <c r="A152" s="15"/>
      <c r="B152" s="15"/>
      <c r="C152" s="15"/>
      <c r="D152" s="23"/>
      <c r="E152" s="23"/>
      <c r="F152" s="23"/>
      <c r="G152" s="15"/>
      <c r="H152" s="23"/>
      <c r="I152" s="15"/>
      <c r="J152" s="15"/>
      <c r="K152" s="15"/>
      <c r="L152" s="15"/>
      <c r="M152" s="15"/>
      <c r="N152" s="23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">
      <c r="A153" s="15"/>
      <c r="B153" s="15"/>
      <c r="C153" s="15"/>
      <c r="D153" s="23"/>
      <c r="E153" s="23"/>
      <c r="F153" s="23"/>
      <c r="G153" s="15"/>
      <c r="H153" s="23"/>
      <c r="I153" s="15"/>
      <c r="J153" s="15"/>
      <c r="K153" s="15"/>
      <c r="L153" s="15"/>
      <c r="M153" s="15"/>
      <c r="N153" s="23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">
      <c r="A154" s="15"/>
      <c r="B154" s="15"/>
      <c r="C154" s="15"/>
      <c r="D154" s="23"/>
      <c r="E154" s="23"/>
      <c r="F154" s="23"/>
      <c r="G154" s="15"/>
      <c r="H154" s="23"/>
      <c r="I154" s="15"/>
      <c r="J154" s="15"/>
      <c r="K154" s="15"/>
      <c r="L154" s="15"/>
      <c r="M154" s="15"/>
      <c r="N154" s="23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">
      <c r="A155" s="15"/>
      <c r="B155" s="15"/>
      <c r="C155" s="15"/>
      <c r="D155" s="23"/>
      <c r="E155" s="23"/>
      <c r="F155" s="23"/>
      <c r="G155" s="15"/>
      <c r="H155" s="23"/>
      <c r="I155" s="15"/>
      <c r="J155" s="15"/>
      <c r="K155" s="15"/>
      <c r="L155" s="15"/>
      <c r="M155" s="15"/>
      <c r="N155" s="23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">
      <c r="A156" s="15"/>
      <c r="B156" s="15"/>
      <c r="C156" s="15"/>
      <c r="D156" s="23"/>
      <c r="E156" s="23"/>
      <c r="F156" s="23"/>
      <c r="G156" s="15"/>
      <c r="H156" s="23"/>
      <c r="I156" s="15"/>
      <c r="J156" s="15"/>
      <c r="K156" s="15"/>
      <c r="L156" s="15"/>
      <c r="M156" s="15"/>
      <c r="N156" s="23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">
      <c r="A157" s="15"/>
      <c r="B157" s="15"/>
      <c r="C157" s="15"/>
      <c r="D157" s="23"/>
      <c r="E157" s="23"/>
      <c r="F157" s="23"/>
      <c r="G157" s="15"/>
      <c r="H157" s="23"/>
      <c r="I157" s="15"/>
      <c r="J157" s="15"/>
      <c r="K157" s="15"/>
      <c r="L157" s="15"/>
      <c r="M157" s="15"/>
      <c r="N157" s="23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">
      <c r="A158" s="15"/>
      <c r="B158" s="15"/>
      <c r="C158" s="15"/>
      <c r="D158" s="23"/>
      <c r="E158" s="23"/>
      <c r="F158" s="23"/>
      <c r="G158" s="15"/>
      <c r="H158" s="23"/>
      <c r="I158" s="15"/>
      <c r="J158" s="15"/>
      <c r="K158" s="15"/>
      <c r="L158" s="15"/>
      <c r="M158" s="15"/>
      <c r="N158" s="23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">
      <c r="A159" s="15"/>
      <c r="B159" s="15"/>
      <c r="C159" s="15"/>
      <c r="D159" s="23"/>
      <c r="E159" s="23"/>
      <c r="F159" s="23"/>
      <c r="G159" s="15"/>
      <c r="H159" s="23"/>
      <c r="I159" s="15"/>
      <c r="J159" s="15"/>
      <c r="K159" s="15"/>
      <c r="L159" s="15"/>
      <c r="M159" s="15"/>
      <c r="N159" s="23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">
      <c r="A160" s="15"/>
      <c r="B160" s="15"/>
      <c r="C160" s="15"/>
      <c r="D160" s="23"/>
      <c r="E160" s="23"/>
      <c r="F160" s="23"/>
      <c r="G160" s="15"/>
      <c r="H160" s="23"/>
      <c r="I160" s="15"/>
      <c r="J160" s="15"/>
      <c r="K160" s="15"/>
      <c r="L160" s="15"/>
      <c r="M160" s="15"/>
      <c r="N160" s="23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">
      <c r="A161" s="15"/>
      <c r="B161" s="15"/>
      <c r="C161" s="15"/>
      <c r="D161" s="23"/>
      <c r="E161" s="23"/>
      <c r="F161" s="23"/>
      <c r="G161" s="15"/>
      <c r="H161" s="23"/>
      <c r="I161" s="15"/>
      <c r="J161" s="15"/>
      <c r="K161" s="15"/>
      <c r="L161" s="15"/>
      <c r="M161" s="15"/>
      <c r="N161" s="23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">
      <c r="A162" s="15"/>
      <c r="B162" s="15"/>
      <c r="C162" s="15"/>
      <c r="D162" s="23"/>
      <c r="E162" s="23"/>
      <c r="F162" s="23"/>
      <c r="G162" s="15"/>
      <c r="H162" s="23"/>
      <c r="I162" s="15"/>
      <c r="J162" s="15"/>
      <c r="K162" s="15"/>
      <c r="L162" s="15"/>
      <c r="M162" s="15"/>
      <c r="N162" s="23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">
      <c r="A163" s="15"/>
      <c r="B163" s="15"/>
      <c r="C163" s="15"/>
      <c r="D163" s="23"/>
      <c r="E163" s="23"/>
      <c r="F163" s="23"/>
      <c r="G163" s="15"/>
      <c r="H163" s="23"/>
      <c r="I163" s="15"/>
      <c r="J163" s="15"/>
      <c r="K163" s="15"/>
      <c r="L163" s="15"/>
      <c r="M163" s="15"/>
      <c r="N163" s="23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">
      <c r="A164" s="15"/>
      <c r="B164" s="15"/>
      <c r="C164" s="15"/>
      <c r="D164" s="23"/>
      <c r="E164" s="23"/>
      <c r="F164" s="23"/>
      <c r="G164" s="15"/>
      <c r="H164" s="23"/>
      <c r="I164" s="15"/>
      <c r="J164" s="15"/>
      <c r="K164" s="15"/>
      <c r="L164" s="15"/>
      <c r="M164" s="15"/>
      <c r="N164" s="23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">
      <c r="A165" s="15"/>
      <c r="B165" s="15"/>
      <c r="C165" s="15"/>
      <c r="D165" s="23"/>
      <c r="E165" s="23"/>
      <c r="F165" s="23"/>
      <c r="G165" s="15"/>
      <c r="H165" s="23"/>
      <c r="I165" s="15"/>
      <c r="J165" s="15"/>
      <c r="K165" s="15"/>
      <c r="L165" s="15"/>
      <c r="M165" s="15"/>
      <c r="N165" s="23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">
      <c r="A166" s="15"/>
      <c r="B166" s="15"/>
      <c r="C166" s="15"/>
      <c r="D166" s="23"/>
      <c r="E166" s="23"/>
      <c r="F166" s="23"/>
      <c r="G166" s="15"/>
      <c r="H166" s="23"/>
      <c r="I166" s="15"/>
      <c r="J166" s="15"/>
      <c r="K166" s="15"/>
      <c r="L166" s="15"/>
      <c r="M166" s="15"/>
      <c r="N166" s="23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">
      <c r="A167" s="15"/>
      <c r="B167" s="15"/>
      <c r="C167" s="15"/>
      <c r="D167" s="23"/>
      <c r="E167" s="23"/>
      <c r="F167" s="23"/>
      <c r="G167" s="15"/>
      <c r="H167" s="23"/>
      <c r="I167" s="15"/>
      <c r="J167" s="15"/>
      <c r="K167" s="15"/>
      <c r="L167" s="15"/>
      <c r="M167" s="15"/>
      <c r="N167" s="23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">
      <c r="A168" s="15"/>
      <c r="B168" s="15"/>
      <c r="C168" s="15"/>
      <c r="D168" s="23"/>
      <c r="E168" s="23"/>
      <c r="F168" s="23"/>
      <c r="G168" s="15"/>
      <c r="H168" s="23"/>
      <c r="I168" s="15"/>
      <c r="J168" s="15"/>
      <c r="K168" s="15"/>
      <c r="L168" s="15"/>
      <c r="M168" s="15"/>
      <c r="N168" s="23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">
      <c r="A169" s="15"/>
      <c r="B169" s="15"/>
      <c r="C169" s="15"/>
      <c r="D169" s="23"/>
      <c r="E169" s="23"/>
      <c r="F169" s="23"/>
      <c r="G169" s="15"/>
      <c r="H169" s="23"/>
      <c r="I169" s="15"/>
      <c r="J169" s="15"/>
      <c r="K169" s="15"/>
      <c r="L169" s="15"/>
      <c r="M169" s="15"/>
      <c r="N169" s="23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">
      <c r="A170" s="15"/>
      <c r="B170" s="15"/>
      <c r="C170" s="15"/>
      <c r="D170" s="23"/>
      <c r="E170" s="23"/>
      <c r="F170" s="23"/>
      <c r="G170" s="15"/>
      <c r="H170" s="23"/>
      <c r="I170" s="15"/>
      <c r="J170" s="15"/>
      <c r="K170" s="15"/>
      <c r="L170" s="15"/>
      <c r="M170" s="15"/>
      <c r="N170" s="23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">
      <c r="A171" s="15"/>
      <c r="B171" s="15"/>
      <c r="C171" s="15"/>
      <c r="D171" s="23"/>
      <c r="E171" s="23"/>
      <c r="F171" s="23"/>
      <c r="G171" s="15"/>
      <c r="H171" s="23"/>
      <c r="I171" s="15"/>
      <c r="J171" s="15"/>
      <c r="K171" s="15"/>
      <c r="L171" s="15"/>
      <c r="M171" s="15"/>
      <c r="N171" s="23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">
      <c r="A172" s="15"/>
      <c r="B172" s="15"/>
      <c r="C172" s="15"/>
      <c r="D172" s="23"/>
      <c r="E172" s="23"/>
      <c r="F172" s="23"/>
      <c r="G172" s="15"/>
      <c r="H172" s="23"/>
      <c r="I172" s="15"/>
      <c r="J172" s="15"/>
      <c r="K172" s="15"/>
      <c r="L172" s="15"/>
      <c r="M172" s="15"/>
      <c r="N172" s="23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">
      <c r="A173" s="15"/>
      <c r="B173" s="15"/>
      <c r="C173" s="15"/>
      <c r="D173" s="23"/>
      <c r="E173" s="23"/>
      <c r="F173" s="23"/>
      <c r="G173" s="15"/>
      <c r="H173" s="23"/>
      <c r="I173" s="15"/>
      <c r="J173" s="15"/>
      <c r="K173" s="15"/>
      <c r="L173" s="15"/>
      <c r="M173" s="15"/>
      <c r="N173" s="23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">
      <c r="A174" s="15"/>
      <c r="B174" s="15"/>
      <c r="C174" s="15"/>
      <c r="D174" s="23"/>
      <c r="E174" s="23"/>
      <c r="F174" s="23"/>
      <c r="G174" s="15"/>
      <c r="H174" s="23"/>
      <c r="I174" s="15"/>
      <c r="J174" s="15"/>
      <c r="K174" s="15"/>
      <c r="L174" s="15"/>
      <c r="M174" s="15"/>
      <c r="N174" s="23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">
      <c r="A175" s="15"/>
      <c r="B175" s="15"/>
      <c r="C175" s="15"/>
      <c r="D175" s="23"/>
      <c r="E175" s="23"/>
      <c r="F175" s="23"/>
      <c r="G175" s="15"/>
      <c r="H175" s="23"/>
      <c r="I175" s="15"/>
      <c r="J175" s="15"/>
      <c r="K175" s="15"/>
      <c r="L175" s="15"/>
      <c r="M175" s="15"/>
      <c r="N175" s="23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">
      <c r="A176" s="15"/>
      <c r="B176" s="15"/>
      <c r="C176" s="15"/>
      <c r="D176" s="23"/>
      <c r="E176" s="23"/>
      <c r="F176" s="23"/>
      <c r="G176" s="15"/>
      <c r="H176" s="23"/>
      <c r="I176" s="15"/>
      <c r="J176" s="15"/>
      <c r="K176" s="15"/>
      <c r="L176" s="15"/>
      <c r="M176" s="15"/>
      <c r="N176" s="23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">
      <c r="A177" s="15"/>
      <c r="B177" s="15"/>
      <c r="C177" s="15"/>
      <c r="D177" s="23"/>
      <c r="E177" s="23"/>
      <c r="F177" s="23"/>
      <c r="G177" s="15"/>
      <c r="H177" s="23"/>
      <c r="I177" s="15"/>
      <c r="J177" s="15"/>
      <c r="K177" s="15"/>
      <c r="L177" s="15"/>
      <c r="M177" s="15"/>
      <c r="N177" s="23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">
      <c r="A178" s="15"/>
      <c r="B178" s="15"/>
      <c r="C178" s="15"/>
      <c r="D178" s="23"/>
      <c r="E178" s="23"/>
      <c r="F178" s="23"/>
      <c r="G178" s="15"/>
      <c r="H178" s="23"/>
      <c r="I178" s="15"/>
      <c r="J178" s="15"/>
      <c r="K178" s="15"/>
      <c r="L178" s="15"/>
      <c r="M178" s="15"/>
      <c r="N178" s="23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">
      <c r="A179" s="15"/>
      <c r="B179" s="15"/>
      <c r="C179" s="15"/>
      <c r="D179" s="23"/>
      <c r="E179" s="23"/>
      <c r="F179" s="23"/>
      <c r="G179" s="15"/>
      <c r="H179" s="23"/>
      <c r="I179" s="15"/>
      <c r="J179" s="15"/>
      <c r="K179" s="15"/>
      <c r="L179" s="15"/>
      <c r="M179" s="15"/>
      <c r="N179" s="23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">
      <c r="A180" s="15"/>
      <c r="B180" s="15"/>
      <c r="C180" s="15"/>
      <c r="D180" s="23"/>
      <c r="E180" s="23"/>
      <c r="F180" s="23"/>
      <c r="G180" s="15"/>
      <c r="H180" s="23"/>
      <c r="I180" s="15"/>
      <c r="J180" s="15"/>
      <c r="K180" s="15"/>
      <c r="L180" s="15"/>
      <c r="M180" s="15"/>
      <c r="N180" s="23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">
      <c r="A181" s="15"/>
      <c r="B181" s="15"/>
      <c r="C181" s="15"/>
      <c r="D181" s="23"/>
      <c r="E181" s="23"/>
      <c r="F181" s="23"/>
      <c r="G181" s="15"/>
      <c r="H181" s="23"/>
      <c r="I181" s="15"/>
      <c r="J181" s="15"/>
      <c r="K181" s="15"/>
      <c r="L181" s="15"/>
      <c r="M181" s="15"/>
      <c r="N181" s="23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">
      <c r="A182" s="15"/>
      <c r="B182" s="15"/>
      <c r="C182" s="15"/>
      <c r="D182" s="23"/>
      <c r="E182" s="23"/>
      <c r="F182" s="23"/>
      <c r="G182" s="15"/>
      <c r="H182" s="23"/>
      <c r="I182" s="15"/>
      <c r="J182" s="15"/>
      <c r="K182" s="15"/>
      <c r="L182" s="15"/>
      <c r="M182" s="15"/>
      <c r="N182" s="23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">
      <c r="A183" s="15"/>
      <c r="B183" s="15"/>
      <c r="C183" s="15"/>
      <c r="D183" s="23"/>
      <c r="E183" s="23"/>
      <c r="F183" s="23"/>
      <c r="G183" s="15"/>
      <c r="H183" s="23"/>
      <c r="I183" s="15"/>
      <c r="J183" s="15"/>
      <c r="K183" s="15"/>
      <c r="L183" s="15"/>
      <c r="M183" s="15"/>
      <c r="N183" s="23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">
      <c r="A184" s="15"/>
      <c r="B184" s="15"/>
      <c r="C184" s="15"/>
      <c r="D184" s="23"/>
      <c r="E184" s="23"/>
      <c r="F184" s="23"/>
      <c r="G184" s="15"/>
      <c r="H184" s="23"/>
      <c r="I184" s="15"/>
      <c r="J184" s="15"/>
      <c r="K184" s="15"/>
      <c r="L184" s="15"/>
      <c r="M184" s="15"/>
      <c r="N184" s="23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">
      <c r="A185" s="15"/>
      <c r="B185" s="15"/>
      <c r="C185" s="15"/>
      <c r="D185" s="23"/>
      <c r="E185" s="23"/>
      <c r="F185" s="23"/>
      <c r="G185" s="15"/>
      <c r="H185" s="23"/>
      <c r="I185" s="15"/>
      <c r="J185" s="15"/>
      <c r="K185" s="15"/>
      <c r="L185" s="15"/>
      <c r="M185" s="15"/>
      <c r="N185" s="23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">
      <c r="A186" s="15"/>
      <c r="B186" s="15"/>
      <c r="C186" s="15"/>
      <c r="D186" s="23"/>
      <c r="E186" s="23"/>
      <c r="F186" s="23"/>
      <c r="G186" s="15"/>
      <c r="H186" s="23"/>
      <c r="I186" s="15"/>
      <c r="J186" s="15"/>
      <c r="K186" s="15"/>
      <c r="L186" s="15"/>
      <c r="M186" s="15"/>
      <c r="N186" s="23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">
      <c r="A187" s="15"/>
      <c r="B187" s="15"/>
      <c r="C187" s="15"/>
      <c r="D187" s="23"/>
      <c r="E187" s="23"/>
      <c r="F187" s="23"/>
      <c r="G187" s="15"/>
      <c r="H187" s="23"/>
      <c r="I187" s="15"/>
      <c r="J187" s="15"/>
      <c r="K187" s="15"/>
      <c r="L187" s="15"/>
      <c r="M187" s="15"/>
      <c r="N187" s="23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">
      <c r="A188" s="15"/>
      <c r="B188" s="15"/>
      <c r="C188" s="15"/>
      <c r="D188" s="23"/>
      <c r="E188" s="23"/>
      <c r="F188" s="23"/>
      <c r="G188" s="15"/>
      <c r="H188" s="23"/>
      <c r="I188" s="15"/>
      <c r="J188" s="15"/>
      <c r="K188" s="15"/>
      <c r="L188" s="15"/>
      <c r="M188" s="15"/>
      <c r="N188" s="23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">
      <c r="A189" s="15"/>
      <c r="B189" s="15"/>
      <c r="C189" s="15"/>
      <c r="D189" s="23"/>
      <c r="E189" s="23"/>
      <c r="F189" s="23"/>
      <c r="G189" s="15"/>
      <c r="H189" s="23"/>
      <c r="I189" s="15"/>
      <c r="J189" s="15"/>
      <c r="K189" s="15"/>
      <c r="L189" s="15"/>
      <c r="M189" s="15"/>
      <c r="N189" s="23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">
      <c r="A190" s="15"/>
      <c r="B190" s="15"/>
      <c r="C190" s="15"/>
      <c r="D190" s="23"/>
      <c r="E190" s="23"/>
      <c r="F190" s="23"/>
      <c r="G190" s="15"/>
      <c r="H190" s="23"/>
      <c r="I190" s="15"/>
      <c r="J190" s="15"/>
      <c r="K190" s="15"/>
      <c r="L190" s="15"/>
      <c r="M190" s="15"/>
      <c r="N190" s="23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">
      <c r="A191" s="15"/>
      <c r="B191" s="15"/>
      <c r="C191" s="15"/>
      <c r="D191" s="23"/>
      <c r="E191" s="23"/>
      <c r="F191" s="23"/>
      <c r="G191" s="15"/>
      <c r="H191" s="23"/>
      <c r="I191" s="15"/>
      <c r="J191" s="15"/>
      <c r="K191" s="15"/>
      <c r="L191" s="15"/>
      <c r="M191" s="15"/>
      <c r="N191" s="23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">
      <c r="A192" s="15"/>
      <c r="B192" s="15"/>
      <c r="C192" s="15"/>
      <c r="D192" s="23"/>
      <c r="E192" s="23"/>
      <c r="F192" s="23"/>
      <c r="G192" s="15"/>
      <c r="H192" s="23"/>
      <c r="I192" s="15"/>
      <c r="J192" s="15"/>
      <c r="K192" s="15"/>
      <c r="L192" s="15"/>
      <c r="M192" s="15"/>
      <c r="N192" s="23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">
      <c r="A193" s="15"/>
      <c r="B193" s="15"/>
      <c r="C193" s="15"/>
      <c r="D193" s="23"/>
      <c r="E193" s="23"/>
      <c r="F193" s="23"/>
      <c r="G193" s="15"/>
      <c r="H193" s="23"/>
      <c r="I193" s="15"/>
      <c r="J193" s="15"/>
      <c r="K193" s="15"/>
      <c r="L193" s="15"/>
      <c r="M193" s="15"/>
      <c r="N193" s="23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">
      <c r="A194" s="15"/>
      <c r="B194" s="15"/>
      <c r="C194" s="15"/>
      <c r="D194" s="23"/>
      <c r="E194" s="23"/>
      <c r="F194" s="23"/>
      <c r="G194" s="15"/>
      <c r="H194" s="23"/>
      <c r="I194" s="15"/>
      <c r="J194" s="15"/>
      <c r="K194" s="15"/>
      <c r="L194" s="15"/>
      <c r="M194" s="15"/>
      <c r="N194" s="23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">
      <c r="A195" s="15"/>
      <c r="B195" s="15"/>
      <c r="C195" s="15"/>
      <c r="D195" s="23"/>
      <c r="E195" s="23"/>
      <c r="F195" s="23"/>
      <c r="G195" s="15"/>
      <c r="H195" s="23"/>
      <c r="I195" s="15"/>
      <c r="J195" s="15"/>
      <c r="K195" s="15"/>
      <c r="L195" s="15"/>
      <c r="M195" s="15"/>
      <c r="N195" s="23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">
      <c r="A196" s="15"/>
      <c r="B196" s="15"/>
      <c r="C196" s="15"/>
      <c r="D196" s="23"/>
      <c r="E196" s="23"/>
      <c r="F196" s="23"/>
      <c r="G196" s="15"/>
      <c r="H196" s="23"/>
      <c r="I196" s="15"/>
      <c r="J196" s="15"/>
      <c r="K196" s="15"/>
      <c r="L196" s="15"/>
      <c r="M196" s="15"/>
      <c r="N196" s="23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">
      <c r="A197" s="15"/>
      <c r="B197" s="15"/>
      <c r="C197" s="15"/>
      <c r="D197" s="23"/>
      <c r="E197" s="23"/>
      <c r="F197" s="23"/>
      <c r="G197" s="15"/>
      <c r="H197" s="23"/>
      <c r="I197" s="15"/>
      <c r="J197" s="15"/>
      <c r="K197" s="15"/>
      <c r="L197" s="15"/>
      <c r="M197" s="15"/>
      <c r="N197" s="23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">
      <c r="A198" s="15"/>
      <c r="B198" s="15"/>
      <c r="C198" s="15"/>
      <c r="D198" s="23"/>
      <c r="E198" s="23"/>
      <c r="F198" s="23"/>
      <c r="G198" s="15"/>
      <c r="H198" s="23"/>
      <c r="I198" s="15"/>
      <c r="J198" s="15"/>
      <c r="K198" s="15"/>
      <c r="L198" s="15"/>
      <c r="M198" s="15"/>
      <c r="N198" s="23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">
      <c r="A199" s="15"/>
      <c r="B199" s="15"/>
      <c r="C199" s="15"/>
      <c r="D199" s="23"/>
      <c r="E199" s="23"/>
      <c r="F199" s="23"/>
      <c r="G199" s="15"/>
      <c r="H199" s="23"/>
      <c r="I199" s="15"/>
      <c r="J199" s="15"/>
      <c r="K199" s="15"/>
      <c r="L199" s="15"/>
      <c r="M199" s="15"/>
      <c r="N199" s="23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">
      <c r="A200" s="15"/>
      <c r="B200" s="15"/>
      <c r="C200" s="15"/>
      <c r="D200" s="23"/>
      <c r="E200" s="23"/>
      <c r="F200" s="23"/>
      <c r="G200" s="15"/>
      <c r="H200" s="23"/>
      <c r="I200" s="15"/>
      <c r="J200" s="15"/>
      <c r="K200" s="15"/>
      <c r="L200" s="15"/>
      <c r="M200" s="15"/>
      <c r="N200" s="23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">
      <c r="A201" s="15"/>
      <c r="B201" s="15"/>
      <c r="C201" s="15"/>
      <c r="D201" s="23"/>
      <c r="E201" s="23"/>
      <c r="F201" s="23"/>
      <c r="G201" s="15"/>
      <c r="H201" s="23"/>
      <c r="I201" s="15"/>
      <c r="J201" s="15"/>
      <c r="K201" s="15"/>
      <c r="L201" s="15"/>
      <c r="M201" s="15"/>
      <c r="N201" s="23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">
      <c r="A202" s="15"/>
      <c r="B202" s="15"/>
      <c r="C202" s="15"/>
      <c r="D202" s="23"/>
      <c r="E202" s="23"/>
      <c r="F202" s="23"/>
      <c r="G202" s="15"/>
      <c r="H202" s="23"/>
      <c r="I202" s="15"/>
      <c r="J202" s="15"/>
      <c r="K202" s="15"/>
      <c r="L202" s="15"/>
      <c r="M202" s="15"/>
      <c r="N202" s="23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">
      <c r="A203" s="15"/>
      <c r="B203" s="15"/>
      <c r="C203" s="15"/>
      <c r="D203" s="23"/>
      <c r="E203" s="23"/>
      <c r="F203" s="23"/>
      <c r="G203" s="15"/>
      <c r="H203" s="23"/>
      <c r="I203" s="15"/>
      <c r="J203" s="15"/>
      <c r="K203" s="15"/>
      <c r="L203" s="15"/>
      <c r="M203" s="15"/>
      <c r="N203" s="23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">
      <c r="A204" s="15"/>
      <c r="B204" s="15"/>
      <c r="C204" s="15"/>
      <c r="D204" s="23"/>
      <c r="E204" s="23"/>
      <c r="F204" s="23"/>
      <c r="G204" s="15"/>
      <c r="H204" s="23"/>
      <c r="I204" s="15"/>
      <c r="J204" s="15"/>
      <c r="K204" s="15"/>
      <c r="L204" s="15"/>
      <c r="M204" s="15"/>
      <c r="N204" s="23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">
      <c r="A205" s="15"/>
      <c r="B205" s="15"/>
      <c r="C205" s="15"/>
      <c r="D205" s="23"/>
      <c r="E205" s="23"/>
      <c r="F205" s="23"/>
      <c r="G205" s="15"/>
      <c r="H205" s="23"/>
      <c r="I205" s="15"/>
      <c r="J205" s="15"/>
      <c r="K205" s="15"/>
      <c r="L205" s="15"/>
      <c r="M205" s="15"/>
      <c r="N205" s="23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">
      <c r="A206" s="15"/>
      <c r="B206" s="15"/>
      <c r="C206" s="15"/>
      <c r="D206" s="23"/>
      <c r="E206" s="23"/>
      <c r="F206" s="23"/>
      <c r="G206" s="15"/>
      <c r="H206" s="23"/>
      <c r="I206" s="15"/>
      <c r="J206" s="15"/>
      <c r="K206" s="15"/>
      <c r="L206" s="15"/>
      <c r="M206" s="15"/>
      <c r="N206" s="23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">
      <c r="A207" s="15"/>
      <c r="B207" s="15"/>
      <c r="C207" s="15"/>
      <c r="D207" s="23"/>
      <c r="E207" s="23"/>
      <c r="F207" s="23"/>
      <c r="G207" s="15"/>
      <c r="H207" s="23"/>
      <c r="I207" s="15"/>
      <c r="J207" s="15"/>
      <c r="K207" s="15"/>
      <c r="L207" s="15"/>
      <c r="M207" s="15"/>
      <c r="N207" s="23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">
      <c r="A208" s="15"/>
      <c r="B208" s="15"/>
      <c r="C208" s="15"/>
      <c r="D208" s="23"/>
      <c r="E208" s="23"/>
      <c r="F208" s="23"/>
      <c r="G208" s="15"/>
      <c r="H208" s="23"/>
      <c r="I208" s="15"/>
      <c r="J208" s="15"/>
      <c r="K208" s="15"/>
      <c r="L208" s="15"/>
      <c r="M208" s="15"/>
      <c r="N208" s="23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">
      <c r="A209" s="15"/>
      <c r="B209" s="15"/>
      <c r="C209" s="15"/>
      <c r="D209" s="23"/>
      <c r="E209" s="23"/>
      <c r="F209" s="23"/>
      <c r="G209" s="15"/>
      <c r="H209" s="23"/>
      <c r="I209" s="15"/>
      <c r="J209" s="15"/>
      <c r="K209" s="15"/>
      <c r="L209" s="15"/>
      <c r="M209" s="15"/>
      <c r="N209" s="23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">
      <c r="A210" s="15"/>
      <c r="B210" s="15"/>
      <c r="C210" s="15"/>
      <c r="D210" s="23"/>
      <c r="E210" s="23"/>
      <c r="F210" s="23"/>
      <c r="G210" s="15"/>
      <c r="H210" s="23"/>
      <c r="I210" s="15"/>
      <c r="J210" s="15"/>
      <c r="K210" s="15"/>
      <c r="L210" s="15"/>
      <c r="M210" s="15"/>
      <c r="N210" s="23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">
      <c r="A211" s="15"/>
      <c r="B211" s="15"/>
      <c r="C211" s="15"/>
      <c r="D211" s="23"/>
      <c r="E211" s="23"/>
      <c r="F211" s="23"/>
      <c r="G211" s="15"/>
      <c r="H211" s="23"/>
      <c r="I211" s="15"/>
      <c r="J211" s="15"/>
      <c r="K211" s="15"/>
      <c r="L211" s="15"/>
      <c r="M211" s="15"/>
      <c r="N211" s="23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">
      <c r="A212" s="15"/>
      <c r="B212" s="15"/>
      <c r="C212" s="15"/>
      <c r="D212" s="23"/>
      <c r="E212" s="23"/>
      <c r="F212" s="23"/>
      <c r="G212" s="15"/>
      <c r="H212" s="23"/>
      <c r="I212" s="15"/>
      <c r="J212" s="15"/>
      <c r="K212" s="15"/>
      <c r="L212" s="15"/>
      <c r="M212" s="15"/>
      <c r="N212" s="23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">
      <c r="A213" s="15"/>
      <c r="B213" s="15"/>
      <c r="C213" s="15"/>
      <c r="D213" s="23"/>
      <c r="E213" s="23"/>
      <c r="F213" s="23"/>
      <c r="G213" s="15"/>
      <c r="H213" s="23"/>
      <c r="I213" s="15"/>
      <c r="J213" s="15"/>
      <c r="K213" s="15"/>
      <c r="L213" s="15"/>
      <c r="M213" s="15"/>
      <c r="N213" s="23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">
      <c r="A214" s="15"/>
      <c r="B214" s="15"/>
      <c r="C214" s="15"/>
      <c r="D214" s="23"/>
      <c r="E214" s="23"/>
      <c r="F214" s="23"/>
      <c r="G214" s="15"/>
      <c r="H214" s="23"/>
      <c r="I214" s="15"/>
      <c r="J214" s="15"/>
      <c r="K214" s="15"/>
      <c r="L214" s="15"/>
      <c r="M214" s="15"/>
      <c r="N214" s="23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">
      <c r="A215" s="15"/>
      <c r="B215" s="15"/>
      <c r="C215" s="15"/>
      <c r="D215" s="23"/>
      <c r="E215" s="23"/>
      <c r="F215" s="23"/>
      <c r="G215" s="15"/>
      <c r="H215" s="23"/>
      <c r="I215" s="15"/>
      <c r="J215" s="15"/>
      <c r="K215" s="15"/>
      <c r="L215" s="15"/>
      <c r="M215" s="15"/>
      <c r="N215" s="23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">
      <c r="A216" s="15"/>
      <c r="B216" s="15"/>
      <c r="C216" s="15"/>
      <c r="D216" s="23"/>
      <c r="E216" s="23"/>
      <c r="F216" s="23"/>
      <c r="G216" s="15"/>
      <c r="H216" s="23"/>
      <c r="I216" s="15"/>
      <c r="J216" s="15"/>
      <c r="K216" s="15"/>
      <c r="L216" s="15"/>
      <c r="M216" s="15"/>
      <c r="N216" s="23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">
      <c r="A217" s="15"/>
      <c r="B217" s="15"/>
      <c r="C217" s="15"/>
      <c r="D217" s="23"/>
      <c r="E217" s="23"/>
      <c r="F217" s="23"/>
      <c r="G217" s="15"/>
      <c r="H217" s="23"/>
      <c r="I217" s="15"/>
      <c r="J217" s="15"/>
      <c r="K217" s="15"/>
      <c r="L217" s="15"/>
      <c r="M217" s="15"/>
      <c r="N217" s="23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">
      <c r="A218" s="15"/>
      <c r="B218" s="15"/>
      <c r="C218" s="15"/>
      <c r="D218" s="23"/>
      <c r="E218" s="23"/>
      <c r="F218" s="23"/>
      <c r="G218" s="15"/>
      <c r="H218" s="23"/>
      <c r="I218" s="15"/>
      <c r="J218" s="15"/>
      <c r="K218" s="15"/>
      <c r="L218" s="15"/>
      <c r="M218" s="15"/>
      <c r="N218" s="23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">
      <c r="A219" s="15"/>
      <c r="B219" s="15"/>
      <c r="C219" s="15"/>
      <c r="D219" s="23"/>
      <c r="E219" s="23"/>
      <c r="F219" s="23"/>
      <c r="G219" s="15"/>
      <c r="H219" s="23"/>
      <c r="I219" s="15"/>
      <c r="J219" s="15"/>
      <c r="K219" s="15"/>
      <c r="L219" s="15"/>
      <c r="M219" s="15"/>
      <c r="N219" s="23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">
      <c r="A220" s="15"/>
      <c r="B220" s="15"/>
      <c r="C220" s="15"/>
      <c r="D220" s="23"/>
      <c r="E220" s="23"/>
      <c r="F220" s="23"/>
      <c r="G220" s="15"/>
      <c r="H220" s="23"/>
      <c r="I220" s="15"/>
      <c r="J220" s="15"/>
      <c r="K220" s="15"/>
      <c r="L220" s="15"/>
      <c r="M220" s="15"/>
      <c r="N220" s="23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">
      <c r="A221" s="15"/>
      <c r="B221" s="15"/>
      <c r="C221" s="15"/>
      <c r="D221" s="23"/>
      <c r="E221" s="23"/>
      <c r="F221" s="23"/>
      <c r="G221" s="15"/>
      <c r="H221" s="23"/>
      <c r="I221" s="15"/>
      <c r="J221" s="15"/>
      <c r="K221" s="15"/>
      <c r="L221" s="15"/>
      <c r="M221" s="15"/>
      <c r="N221" s="23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">
      <c r="A222" s="15"/>
      <c r="B222" s="15"/>
      <c r="C222" s="15"/>
      <c r="D222" s="23"/>
      <c r="E222" s="23"/>
      <c r="F222" s="23"/>
      <c r="G222" s="15"/>
      <c r="H222" s="23"/>
      <c r="I222" s="15"/>
      <c r="J222" s="15"/>
      <c r="K222" s="15"/>
      <c r="L222" s="15"/>
      <c r="M222" s="15"/>
      <c r="N222" s="23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">
      <c r="A223" s="15"/>
      <c r="B223" s="15"/>
      <c r="C223" s="15"/>
      <c r="D223" s="23"/>
      <c r="E223" s="23"/>
      <c r="F223" s="23"/>
      <c r="G223" s="15"/>
      <c r="H223" s="23"/>
      <c r="I223" s="15"/>
      <c r="J223" s="15"/>
      <c r="K223" s="15"/>
      <c r="L223" s="15"/>
      <c r="M223" s="15"/>
      <c r="N223" s="23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">
      <c r="A224" s="15"/>
      <c r="B224" s="15"/>
      <c r="C224" s="15"/>
      <c r="D224" s="23"/>
      <c r="E224" s="23"/>
      <c r="F224" s="23"/>
      <c r="G224" s="15"/>
      <c r="H224" s="23"/>
      <c r="I224" s="15"/>
      <c r="J224" s="15"/>
      <c r="K224" s="15"/>
      <c r="L224" s="15"/>
      <c r="M224" s="15"/>
      <c r="N224" s="23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">
      <c r="A225" s="15"/>
      <c r="B225" s="15"/>
      <c r="C225" s="15"/>
      <c r="D225" s="23"/>
      <c r="E225" s="23"/>
      <c r="F225" s="23"/>
      <c r="G225" s="15"/>
      <c r="H225" s="23"/>
      <c r="I225" s="15"/>
      <c r="J225" s="15"/>
      <c r="K225" s="15"/>
      <c r="L225" s="15"/>
      <c r="M225" s="15"/>
      <c r="N225" s="23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">
      <c r="A226" s="15"/>
      <c r="B226" s="15"/>
      <c r="C226" s="15"/>
      <c r="D226" s="23"/>
      <c r="E226" s="23"/>
      <c r="F226" s="23"/>
      <c r="G226" s="15"/>
      <c r="H226" s="23"/>
      <c r="I226" s="15"/>
      <c r="J226" s="15"/>
      <c r="K226" s="15"/>
      <c r="L226" s="15"/>
      <c r="M226" s="15"/>
      <c r="N226" s="23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">
      <c r="A227" s="15"/>
      <c r="B227" s="15"/>
      <c r="C227" s="15"/>
      <c r="D227" s="23"/>
      <c r="E227" s="23"/>
      <c r="F227" s="23"/>
      <c r="G227" s="15"/>
      <c r="H227" s="23"/>
      <c r="I227" s="15"/>
      <c r="J227" s="15"/>
      <c r="K227" s="15"/>
      <c r="L227" s="15"/>
      <c r="M227" s="15"/>
      <c r="N227" s="23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">
      <c r="A228" s="15"/>
      <c r="B228" s="15"/>
      <c r="C228" s="15"/>
      <c r="D228" s="23"/>
      <c r="E228" s="23"/>
      <c r="F228" s="23"/>
      <c r="G228" s="15"/>
      <c r="H228" s="23"/>
      <c r="I228" s="15"/>
      <c r="J228" s="15"/>
      <c r="K228" s="15"/>
      <c r="L228" s="15"/>
      <c r="M228" s="15"/>
      <c r="N228" s="23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">
      <c r="A229" s="15"/>
      <c r="B229" s="15"/>
      <c r="C229" s="15"/>
      <c r="D229" s="23"/>
      <c r="E229" s="23"/>
      <c r="F229" s="23"/>
      <c r="G229" s="15"/>
      <c r="H229" s="23"/>
      <c r="I229" s="15"/>
      <c r="J229" s="15"/>
      <c r="K229" s="15"/>
      <c r="L229" s="15"/>
      <c r="M229" s="15"/>
      <c r="N229" s="23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">
      <c r="A230" s="15"/>
      <c r="B230" s="15"/>
      <c r="C230" s="15"/>
      <c r="D230" s="23"/>
      <c r="E230" s="23"/>
      <c r="F230" s="23"/>
      <c r="G230" s="15"/>
      <c r="H230" s="23"/>
      <c r="I230" s="15"/>
      <c r="J230" s="15"/>
      <c r="K230" s="15"/>
      <c r="L230" s="15"/>
      <c r="M230" s="15"/>
      <c r="N230" s="23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">
      <c r="A231" s="15"/>
      <c r="B231" s="15"/>
      <c r="C231" s="15"/>
      <c r="D231" s="23"/>
      <c r="E231" s="23"/>
      <c r="F231" s="23"/>
      <c r="G231" s="15"/>
      <c r="H231" s="23"/>
      <c r="I231" s="15"/>
      <c r="J231" s="15"/>
      <c r="K231" s="15"/>
      <c r="L231" s="15"/>
      <c r="M231" s="15"/>
      <c r="N231" s="23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">
      <c r="A232" s="15"/>
      <c r="B232" s="15"/>
      <c r="C232" s="15"/>
      <c r="D232" s="23"/>
      <c r="E232" s="23"/>
      <c r="F232" s="23"/>
      <c r="G232" s="15"/>
      <c r="H232" s="23"/>
      <c r="I232" s="15"/>
      <c r="J232" s="15"/>
      <c r="K232" s="15"/>
      <c r="L232" s="15"/>
      <c r="M232" s="15"/>
      <c r="N232" s="23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">
      <c r="A233" s="15"/>
      <c r="B233" s="15"/>
      <c r="C233" s="15"/>
      <c r="D233" s="23"/>
      <c r="E233" s="23"/>
      <c r="F233" s="23"/>
      <c r="G233" s="15"/>
      <c r="H233" s="23"/>
      <c r="I233" s="15"/>
      <c r="J233" s="15"/>
      <c r="K233" s="15"/>
      <c r="L233" s="15"/>
      <c r="M233" s="15"/>
      <c r="N233" s="23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">
      <c r="A234" s="15"/>
      <c r="B234" s="15"/>
      <c r="C234" s="15"/>
      <c r="D234" s="23"/>
      <c r="E234" s="23"/>
      <c r="F234" s="23"/>
      <c r="G234" s="15"/>
      <c r="H234" s="23"/>
      <c r="I234" s="15"/>
      <c r="J234" s="15"/>
      <c r="K234" s="15"/>
      <c r="L234" s="15"/>
      <c r="M234" s="15"/>
      <c r="N234" s="23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">
      <c r="A235" s="15"/>
      <c r="B235" s="15"/>
      <c r="C235" s="15"/>
      <c r="D235" s="23"/>
      <c r="E235" s="23"/>
      <c r="F235" s="23"/>
      <c r="G235" s="15"/>
      <c r="H235" s="23"/>
      <c r="I235" s="15"/>
      <c r="J235" s="15"/>
      <c r="K235" s="15"/>
      <c r="L235" s="15"/>
      <c r="M235" s="15"/>
      <c r="N235" s="23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">
      <c r="A236" s="15"/>
      <c r="B236" s="15"/>
      <c r="C236" s="15"/>
      <c r="D236" s="23"/>
      <c r="E236" s="23"/>
      <c r="F236" s="23"/>
      <c r="G236" s="15"/>
      <c r="H236" s="23"/>
      <c r="I236" s="15"/>
      <c r="J236" s="15"/>
      <c r="K236" s="15"/>
      <c r="L236" s="15"/>
      <c r="M236" s="15"/>
      <c r="N236" s="23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</sheetData>
  <mergeCells count="6">
    <mergeCell ref="B24:M24"/>
    <mergeCell ref="B25:M25"/>
    <mergeCell ref="B2:N3"/>
    <mergeCell ref="B8:N8"/>
    <mergeCell ref="C18:C19"/>
    <mergeCell ref="C16:C17"/>
  </mergeCells>
  <phoneticPr fontId="17" type="noConversion"/>
  <hyperlinks>
    <hyperlink ref="E4" r:id="rId1" xr:uid="{00000000-0004-0000-0300-000000000000}"/>
  </hyperlinks>
  <pageMargins left="0.7" right="0.7" top="0.75" bottom="0.75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1fox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Mạnh DT</cp:lastModifiedBy>
  <dcterms:created xsi:type="dcterms:W3CDTF">2022-05-10T04:31:54Z</dcterms:created>
  <dcterms:modified xsi:type="dcterms:W3CDTF">2026-01-02T09:27:33Z</dcterms:modified>
</cp:coreProperties>
</file>